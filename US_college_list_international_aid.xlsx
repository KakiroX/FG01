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llege List" sheetId="1" state="visible" r:id="rId1"/>
    <sheet xmlns:r="http://schemas.openxmlformats.org/officeDocument/2006/relationships" name="US News 20 - in or out" sheetId="2" state="visible" r:id="rId2"/>
    <sheet xmlns:r="http://schemas.openxmlformats.org/officeDocument/2006/relationships" name="Making + neurotech fit" sheetId="3" state="visible" r:id="rId3"/>
    <sheet xmlns:r="http://schemas.openxmlformats.org/officeDocument/2006/relationships" name="Application Strategy" sheetId="4" state="visible" r:id="rId4"/>
    <sheet xmlns:r="http://schemas.openxmlformats.org/officeDocument/2006/relationships" name="Cut - and why" sheetId="5" state="visible" r:id="rId5"/>
    <sheet xmlns:r="http://schemas.openxmlformats.org/officeDocument/2006/relationships" name="Fact-check log" sheetId="6" state="visible" r:id="rId6"/>
  </sheets>
  <definedNames>
    <definedName name="_xlnm._FilterDatabase" localSheetId="0" hidden="1">'College List'!$A$1:$U$18</definedName>
    <definedName name="_xlnm._FilterDatabase" localSheetId="1" hidden="1">'US News 20 - in or out'!$A$1:$G$21</definedName>
    <definedName name="_xlnm._FilterDatabase" localSheetId="5" hidden="1">'Fact-check log'!$A$1:$E$26</definedName>
  </definedNames>
  <calcPr calcId="124519" fullCalcOnLoad="1"/>
</workbook>
</file>

<file path=xl/styles.xml><?xml version="1.0" encoding="utf-8"?>
<styleSheet xmlns="http://schemas.openxmlformats.org/spreadsheetml/2006/main">
  <numFmts count="1">
    <numFmt numFmtId="164" formatCode="$#,##0"/>
  </numFmts>
  <fonts count="15">
    <font>
      <name val="Calibri"/>
      <family val="2"/>
      <color theme="1"/>
      <sz val="11"/>
      <scheme val="minor"/>
    </font>
    <font>
      <name val="Arial"/>
      <b val="1"/>
      <color rgb="00FFFFFF"/>
      <sz val="10"/>
    </font>
    <font>
      <name val="Arial"/>
      <sz val="10"/>
    </font>
    <font>
      <name val="Arial"/>
      <b val="1"/>
      <sz val="10"/>
    </font>
    <font>
      <name val="Arial"/>
      <b val="1"/>
      <color rgb="00006100"/>
      <sz val="10"/>
    </font>
    <font>
      <name val="Arial"/>
      <i val="1"/>
      <color rgb="00A6A6A6"/>
      <sz val="9"/>
    </font>
    <font>
      <name val="Arial"/>
      <i val="1"/>
      <color rgb="00808080"/>
      <sz val="10"/>
    </font>
    <font>
      <name val="Arial"/>
      <b val="1"/>
      <color rgb="001F3864"/>
      <sz val="11"/>
    </font>
    <font>
      <name val="Arial"/>
      <b val="1"/>
      <color rgb="00C00000"/>
      <sz val="10"/>
    </font>
    <font>
      <name val="Arial"/>
      <i val="1"/>
      <color rgb="00808080"/>
      <sz val="9"/>
    </font>
    <font>
      <name val="Arial"/>
      <b val="1"/>
      <color rgb="001F3864"/>
      <sz val="14"/>
    </font>
    <font>
      <name val="Arial"/>
      <b val="1"/>
      <color rgb="00FFFFFF"/>
      <sz val="12"/>
    </font>
    <font>
      <name val="Arial"/>
      <color rgb="00000000"/>
      <sz val="10"/>
    </font>
    <font>
      <name val="Arial"/>
      <b val="1"/>
      <color rgb="00000000"/>
      <sz val="10"/>
    </font>
    <font>
      <name val="Arial"/>
      <color rgb="00C00000"/>
      <sz val="10"/>
    </font>
  </fonts>
  <fills count="9">
    <fill>
      <patternFill/>
    </fill>
    <fill>
      <patternFill patternType="gray125"/>
    </fill>
    <fill>
      <patternFill patternType="solid">
        <fgColor rgb="001F3864"/>
      </patternFill>
    </fill>
    <fill>
      <patternFill patternType="solid">
        <fgColor rgb="00E4D9F3"/>
      </patternFill>
    </fill>
    <fill>
      <patternFill patternType="solid">
        <fgColor rgb="00E2EFDA"/>
      </patternFill>
    </fill>
    <fill>
      <patternFill patternType="solid">
        <fgColor rgb="00FCE4E4"/>
      </patternFill>
    </fill>
    <fill>
      <patternFill patternType="solid">
        <fgColor rgb="00FFF2CC"/>
      </patternFill>
    </fill>
    <fill>
      <patternFill patternType="solid">
        <fgColor rgb="00D9E2F3"/>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3" fillId="3" borderId="1" applyAlignment="1" pivotButton="0" quotePrefix="0" xfId="0">
      <alignment horizontal="left" vertical="top" wrapText="1"/>
    </xf>
    <xf numFmtId="0" fontId="4" fillId="3" borderId="1" applyAlignment="1" pivotButton="0" quotePrefix="0" xfId="0">
      <alignment horizontal="center" vertical="top" wrapText="1"/>
    </xf>
    <xf numFmtId="164"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6" fillId="3" borderId="0" pivotButton="0" quotePrefix="0" xfId="0"/>
    <xf numFmtId="0" fontId="2" fillId="0" borderId="1" applyAlignment="1" pivotButton="0" quotePrefix="0" xfId="0">
      <alignment horizontal="center" vertical="top" wrapText="1"/>
    </xf>
    <xf numFmtId="0" fontId="3" fillId="0" borderId="1" applyAlignment="1" pivotButton="0" quotePrefix="0" xfId="0">
      <alignment horizontal="left" vertical="top" wrapText="1"/>
    </xf>
    <xf numFmtId="0" fontId="2" fillId="5" borderId="1" applyAlignment="1" pivotButton="0" quotePrefix="0" xfId="0">
      <alignment horizontal="center" vertical="top" wrapText="1"/>
    </xf>
    <xf numFmtId="0" fontId="4" fillId="4" borderId="1" applyAlignment="1" pivotButton="0" quotePrefix="0" xfId="0">
      <alignment horizontal="center" vertical="top" wrapText="1"/>
    </xf>
    <xf numFmtId="164"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4" borderId="1" applyAlignment="1" pivotButton="0" quotePrefix="0" xfId="0">
      <alignment horizontal="left" vertical="top" wrapText="1"/>
    </xf>
    <xf numFmtId="0" fontId="2" fillId="5" borderId="1" applyAlignment="1" pivotButton="0" quotePrefix="0" xfId="0">
      <alignment horizontal="left" vertical="top" wrapText="1"/>
    </xf>
    <xf numFmtId="0" fontId="6" fillId="0" borderId="0" pivotButton="0" quotePrefix="0" xfId="0"/>
    <xf numFmtId="0" fontId="5" fillId="0"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xf numFmtId="0" fontId="2" fillId="4" borderId="1" applyAlignment="1" pivotButton="0" quotePrefix="0" xfId="0">
      <alignment horizontal="center" vertical="top" wrapText="1"/>
    </xf>
    <xf numFmtId="0" fontId="7" fillId="0" borderId="0" pivotButton="0" quotePrefix="0" xfId="0"/>
    <xf numFmtId="0" fontId="2" fillId="0" borderId="0" pivotButton="0" quotePrefix="0" xfId="0"/>
    <xf numFmtId="0" fontId="3" fillId="0" borderId="0" applyAlignment="1" pivotButton="0" quotePrefix="0" xfId="0">
      <alignment horizontal="center"/>
    </xf>
    <xf numFmtId="0" fontId="3" fillId="5" borderId="0" applyAlignment="1" pivotButton="0" quotePrefix="0" xfId="0">
      <alignment horizontal="center"/>
    </xf>
    <xf numFmtId="0" fontId="3"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2" borderId="0" pivotButton="0" quotePrefix="0" xfId="0"/>
    <xf numFmtId="0" fontId="0" fillId="2" borderId="0" pivotButton="0" quotePrefix="0" xfId="0"/>
    <xf numFmtId="0" fontId="3" fillId="0" borderId="0" applyAlignment="1" pivotButton="0" quotePrefix="0" xfId="0">
      <alignment vertical="top" wrapText="1"/>
    </xf>
    <xf numFmtId="0" fontId="12" fillId="0" borderId="0" applyAlignment="1" pivotButton="0" quotePrefix="0" xfId="0">
      <alignment vertical="top" wrapText="1"/>
    </xf>
    <xf numFmtId="0" fontId="13" fillId="0" borderId="0" applyAlignment="1" pivotButton="0" quotePrefix="0" xfId="0">
      <alignment vertical="top" wrapText="1"/>
    </xf>
    <xf numFmtId="0" fontId="8" fillId="0" borderId="0" applyAlignment="1" pivotButton="0" quotePrefix="0" xfId="0">
      <alignment vertical="top" wrapText="1"/>
    </xf>
    <xf numFmtId="0" fontId="14" fillId="0" borderId="0" applyAlignment="1" pivotButton="0" quotePrefix="0" xfId="0">
      <alignment vertical="top" wrapText="1"/>
    </xf>
    <xf numFmtId="0" fontId="3" fillId="0" borderId="1" applyAlignment="1" pivotButton="0" quotePrefix="0" xfId="0">
      <alignment vertical="top" wrapText="1"/>
    </xf>
    <xf numFmtId="0" fontId="2" fillId="5"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8" borderId="1" applyAlignment="1" pivotButton="0" quotePrefix="0" xfId="0">
      <alignment vertical="top" wrapText="1"/>
    </xf>
    <xf numFmtId="0" fontId="3" fillId="5" borderId="1" applyAlignment="1" pivotButton="0" quotePrefix="0" xfId="0">
      <alignment horizontal="center" vertical="top" wrapText="1"/>
    </xf>
    <xf numFmtId="0" fontId="3" fillId="6" borderId="1" applyAlignment="1" pivotButton="0" quotePrefix="0" xfId="0">
      <alignment horizontal="center" vertical="top" wrapText="1"/>
    </xf>
    <xf numFmtId="0" fontId="3" fillId="4" borderId="1" applyAlignment="1" pivotButton="0" quotePrefix="0" xfId="0">
      <alignment horizontal="center" vertical="top" wrapText="1"/>
    </xf>
    <xf numFmtId="0" fontId="3" fillId="8"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17" customWidth="1" min="2" max="2"/>
    <col width="12" customWidth="1" min="3" max="3"/>
    <col width="11" customWidth="1" min="4" max="4"/>
    <col width="13" customWidth="1" min="5" max="5"/>
    <col width="15" customWidth="1" min="6" max="6"/>
    <col width="17" customWidth="1" min="7" max="7"/>
    <col width="14" customWidth="1" min="8" max="8"/>
    <col width="12" customWidth="1" min="9" max="9"/>
    <col width="44" customWidth="1" min="10" max="10"/>
    <col width="26" customWidth="1" min="11" max="11"/>
    <col width="50" customWidth="1" min="12" max="12"/>
    <col width="16" customWidth="1" min="13" max="13"/>
    <col width="58" customWidth="1" min="14" max="14"/>
    <col width="42" customWidth="1" min="15" max="15"/>
    <col width="18" customWidth="1" min="16" max="16"/>
    <col width="14" customWidth="1" min="17" max="17"/>
    <col width="14" customWidth="1" min="18" max="18"/>
    <col width="14" customWidth="1" min="19" max="19"/>
    <col width="52" customWidth="1" min="20" max="20"/>
    <col width="11" customWidth="1" min="21" max="21"/>
  </cols>
  <sheetData>
    <row r="1" ht="58" customHeight="1">
      <c r="A1" s="1" t="inlineStr">
        <is>
          <t>#</t>
        </is>
      </c>
      <c r="B1" s="1" t="inlineStr">
        <is>
          <t>School</t>
        </is>
      </c>
      <c r="C1" s="1" t="inlineStr">
        <is>
          <t>Tier</t>
        </is>
      </c>
      <c r="D1" s="1" t="inlineStr">
        <is>
          <t>Approx. admit rate</t>
        </is>
      </c>
      <c r="E1" s="1" t="inlineStr">
        <is>
          <t>Need-blind for int'l?</t>
        </is>
      </c>
      <c r="F1" s="1" t="inlineStr">
        <is>
          <t>Meets 100% of need (int'l)?</t>
        </is>
      </c>
      <c r="G1" s="1" t="inlineStr">
        <is>
          <t>No-loan for int'l?</t>
        </is>
      </c>
      <c r="H1" s="1" t="inlineStr">
        <is>
          <t>Avg aid per int'l (US News 24-25)</t>
        </is>
      </c>
      <c r="I1" s="1" t="inlineStr">
        <is>
          <t># int'l funded (US News)</t>
        </is>
      </c>
      <c r="J1" s="1" t="inlineStr">
        <is>
          <t>Key aid guarantee</t>
        </is>
      </c>
      <c r="K1" s="1" t="inlineStr">
        <is>
          <t>Engineering degree</t>
        </is>
      </c>
      <c r="L1" s="1" t="inlineStr">
        <is>
          <t>Making / fabrication facilities</t>
        </is>
      </c>
      <c r="M1" s="1" t="inlineStr">
        <is>
          <t>Neuroscience</t>
        </is>
      </c>
      <c r="N1" s="1" t="inlineStr">
        <is>
          <t>NEUROTECH - named centre</t>
        </is>
      </c>
      <c r="O1" s="1" t="inlineStr">
        <is>
          <t>Liberal arts + research fit</t>
        </is>
      </c>
      <c r="P1" s="1" t="inlineStr">
        <is>
          <t>Early option under Yale SCEA</t>
        </is>
      </c>
      <c r="Q1" s="1" t="inlineStr">
        <is>
          <t>Early deadline (2026)</t>
        </is>
      </c>
      <c r="R1" s="1" t="inlineStr">
        <is>
          <t>RD deadline (Jan 2027)</t>
        </is>
      </c>
      <c r="S1" s="1" t="inlineStr">
        <is>
          <t>Aid form</t>
        </is>
      </c>
      <c r="T1" s="1" t="inlineStr">
        <is>
          <t>Note</t>
        </is>
      </c>
      <c r="U1" s="1" t="inlineStr">
        <is>
          <t>Status</t>
        </is>
      </c>
    </row>
    <row r="2" ht="88" customHeight="1">
      <c r="A2" s="2" t="n">
        <v>0</v>
      </c>
      <c r="B2" s="3" t="inlineStr">
        <is>
          <t>Yale</t>
        </is>
      </c>
      <c r="C2" s="2" t="inlineStr">
        <is>
          <t>YOUR SCEA</t>
        </is>
      </c>
      <c r="D2" s="2" t="inlineStr">
        <is>
          <t>~4%</t>
        </is>
      </c>
      <c r="E2" s="4" t="inlineStr">
        <is>
          <t>YES</t>
        </is>
      </c>
      <c r="F2" s="2" t="inlineStr">
        <is>
          <t>Yes</t>
        </is>
      </c>
      <c r="G2" s="2" t="inlineStr">
        <is>
          <t>Yes</t>
        </is>
      </c>
      <c r="H2" s="5" t="n">
        <v>83900</v>
      </c>
      <c r="I2" s="2" t="n">
        <v>489</v>
      </c>
      <c r="J2" s="6" t="inlineStr">
        <is>
          <t>Need-blind for int'l; no loans; $0 parent contribution under $100k income; full tuition guaranteed to ~$200k</t>
        </is>
      </c>
      <c r="K2" s="6" t="inlineStr">
        <is>
          <t>Yes - ABET EE (SEAS)</t>
        </is>
      </c>
      <c r="L2" s="6" t="inlineStr">
        <is>
          <t>Center for Engineering Innovation &amp; Design (CEID) - open-access design and fabrication studio</t>
        </is>
      </c>
      <c r="M2" s="6" t="inlineStr">
        <is>
          <t>Yes</t>
        </is>
      </c>
      <c r="N2" s="6" t="inlineStr">
        <is>
          <t>Wu Tsai Institute - university-wide neuroscience initiative on human cognition, with a dedicated SUMMER UNDERGRADUATE FELLOWSHIP working alongside WTI faculty</t>
        </is>
      </c>
      <c r="O2" s="6" t="inlineStr">
        <is>
          <t>EXCELLENT - residential colleges, undergrad-first Ivy with an engineering school</t>
        </is>
      </c>
      <c r="P2" s="6" t="inlineStr">
        <is>
          <t>This IS your SCEA</t>
        </is>
      </c>
      <c r="Q2" s="2" t="inlineStr">
        <is>
          <t>Nov 1, 2026</t>
        </is>
      </c>
      <c r="R2" s="2" t="inlineStr">
        <is>
          <t>-</t>
        </is>
      </c>
      <c r="S2" s="6" t="inlineStr">
        <is>
          <t>CSS Profile</t>
        </is>
      </c>
      <c r="T2" s="6" t="inlineStr">
        <is>
          <t>Already decided. Funded 489 internationals at $83,900 average. The undergraduate Wu Tsai fellowship is a direct neurotech entry point in year one.</t>
        </is>
      </c>
      <c r="U2" s="7" t="inlineStr">
        <is>
          <t>Not started</t>
        </is>
      </c>
    </row>
    <row r="3" ht="88" customHeight="1">
      <c r="A3" s="8" t="n">
        <v>1</v>
      </c>
      <c r="B3" s="9" t="inlineStr">
        <is>
          <t>Dartmouth</t>
        </is>
      </c>
      <c r="C3" s="10" t="inlineStr">
        <is>
          <t>Reach</t>
        </is>
      </c>
      <c r="D3" s="8" t="inlineStr">
        <is>
          <t>~5.8%</t>
        </is>
      </c>
      <c r="E3" s="11" t="inlineStr">
        <is>
          <t>YES</t>
        </is>
      </c>
      <c r="F3" s="8" t="inlineStr">
        <is>
          <t>Yes</t>
        </is>
      </c>
      <c r="G3" s="8" t="inlineStr">
        <is>
          <t>Yes</t>
        </is>
      </c>
      <c r="H3" s="12" t="n">
        <v>84200</v>
      </c>
      <c r="I3" s="8" t="n">
        <v>501</v>
      </c>
      <c r="J3" s="13" t="inlineStr">
        <is>
          <t>Need-blind for int'l since 2022; no loans</t>
        </is>
      </c>
      <c r="K3" s="14" t="inlineStr">
        <is>
          <t>Yes - Thayer, ABET</t>
        </is>
      </c>
      <c r="L3" s="13" t="inlineStr">
        <is>
          <t>Class of 1982 Engineering &amp; CS Center: 165,000 sq ft, machine shop, makerspaces; plus the DALI Lab</t>
        </is>
      </c>
      <c r="M3" s="13" t="inlineStr">
        <is>
          <t>Yes</t>
        </is>
      </c>
      <c r="N3" s="15" t="inlineStr">
        <is>
          <t>No single named neurotech centre - strength is Thayer bioengineering plus PBS neuroscience, not a dedicated institute</t>
        </is>
      </c>
      <c r="O3" s="13" t="inlineStr">
        <is>
          <t>EXCELLENT - a liberal arts college that owns an engineering school</t>
        </is>
      </c>
      <c r="P3" s="13" t="inlineStr">
        <is>
          <t>No (ED I only)</t>
        </is>
      </c>
      <c r="Q3" s="8" t="inlineStr">
        <is>
          <t>-</t>
        </is>
      </c>
      <c r="R3" s="8" t="inlineStr">
        <is>
          <t>Jan 3</t>
        </is>
      </c>
      <c r="S3" s="13" t="inlineStr">
        <is>
          <t>CSS Profile</t>
        </is>
      </c>
      <c r="T3" s="13" t="inlineStr">
        <is>
          <t>501 funded internationals, the largest cohort on the US News list. Weakest link is neurotech specifically.</t>
        </is>
      </c>
      <c r="U3" s="16" t="inlineStr">
        <is>
          <t>Not started</t>
        </is>
      </c>
    </row>
    <row r="4" ht="88" customHeight="1">
      <c r="A4" s="8" t="n">
        <v>2</v>
      </c>
      <c r="B4" s="9" t="inlineStr">
        <is>
          <t>Brown</t>
        </is>
      </c>
      <c r="C4" s="10" t="inlineStr">
        <is>
          <t>Reach</t>
        </is>
      </c>
      <c r="D4" s="8" t="inlineStr">
        <is>
          <t>~5%</t>
        </is>
      </c>
      <c r="E4" s="11" t="inlineStr">
        <is>
          <t>YES</t>
        </is>
      </c>
      <c r="F4" s="8" t="inlineStr">
        <is>
          <t>Yes</t>
        </is>
      </c>
      <c r="G4" s="8" t="inlineStr">
        <is>
          <t>Yes</t>
        </is>
      </c>
      <c r="H4" s="12" t="n">
        <v>82300</v>
      </c>
      <c r="I4" s="8" t="n">
        <v>310</v>
      </c>
      <c r="J4" s="13" t="inlineStr">
        <is>
          <t>Need-blind for int'l from the Class of 2029 onward; no loans</t>
        </is>
      </c>
      <c r="K4" s="14" t="inlineStr">
        <is>
          <t>Yes - ABET engineering</t>
        </is>
      </c>
      <c r="L4" s="13" t="inlineStr">
        <is>
          <t>Brown Design Workshop, student-run makerspace in the engineering complex (not independently verified)</t>
        </is>
      </c>
      <c r="M4" s="13" t="inlineStr">
        <is>
          <t>Yes - strong</t>
        </is>
      </c>
      <c r="N4" s="6" t="inlineStr">
        <is>
          <t>Carney Institute for Brain Science - home of BrainGate, the implanted brain-computer interface that has let people with spinal cord injury, brainstem stroke and ALS control devices by thought. Founded at Brown by John Donoghue; still running clinical trials</t>
        </is>
      </c>
      <c r="O4" s="13" t="inlineStr">
        <is>
          <t>EXCELLENT - Open Curriculum with no distribution requirements, undergrad-first Ivy</t>
        </is>
      </c>
      <c r="P4" s="13" t="inlineStr">
        <is>
          <t>No (ED I only)</t>
        </is>
      </c>
      <c r="Q4" s="8" t="inlineStr">
        <is>
          <t>-</t>
        </is>
      </c>
      <c r="R4" s="8" t="inlineStr">
        <is>
          <t>Jan 3</t>
        </is>
      </c>
      <c r="S4" s="13" t="inlineStr">
        <is>
          <t>CSS Profile</t>
        </is>
      </c>
      <c r="T4" s="13" t="inlineStr">
        <is>
          <t>RESTORED at your request. On a neurotech brief this is the strongest school on the list - BrainGate is the flagship BCI programme in the world - and Brown is need-blind for internationals with no loans.</t>
        </is>
      </c>
      <c r="U4" s="16" t="inlineStr">
        <is>
          <t>Not started</t>
        </is>
      </c>
    </row>
    <row r="5" ht="88" customHeight="1">
      <c r="A5" s="8" t="n">
        <v>3</v>
      </c>
      <c r="B5" s="9" t="inlineStr">
        <is>
          <t>Rice</t>
        </is>
      </c>
      <c r="C5" s="10" t="inlineStr">
        <is>
          <t>Reach</t>
        </is>
      </c>
      <c r="D5" s="8" t="inlineStr">
        <is>
          <t>~7%</t>
        </is>
      </c>
      <c r="E5" s="8" t="inlineStr">
        <is>
          <t>No (need-aware)</t>
        </is>
      </c>
      <c r="F5" s="8" t="inlineStr">
        <is>
          <t>Yes</t>
        </is>
      </c>
      <c r="G5" s="8" t="inlineStr">
        <is>
          <t>Yes</t>
        </is>
      </c>
      <c r="H5" s="17" t="inlineStr">
        <is>
          <t>Not in top 20</t>
        </is>
      </c>
      <c r="I5" s="17" t="inlineStr">
        <is>
          <t>Not in top 20</t>
        </is>
      </c>
      <c r="J5" s="13" t="inlineStr">
        <is>
          <t>100% of need met without loans, internationals included</t>
        </is>
      </c>
      <c r="K5" s="14" t="inlineStr">
        <is>
          <t>Yes - ECE</t>
        </is>
      </c>
      <c r="L5" s="13" t="inlineStr">
        <is>
          <t>Oshman Engineering Design Kitchen: 20,000 sq ft RESERVED for undergraduates, machine shop, FabShops</t>
        </is>
      </c>
      <c r="M5" s="13" t="inlineStr">
        <is>
          <t>Yes</t>
        </is>
      </c>
      <c r="N5" s="6" t="inlineStr">
        <is>
          <t>Rice Neuroengineering Initiative (founded 2018) - bioengineers, mechanical, materials and ELECTRICAL/COMPUTER engineers plus clinicians building tech to restore and extend brain function. Undergrads can request lab rotations</t>
        </is>
      </c>
      <c r="O5" s="13" t="inlineStr">
        <is>
          <t>EXCELLENT - residential colleges, ~4,500 undergrads, R1 research</t>
        </is>
      </c>
      <c r="P5" s="13" t="inlineStr">
        <is>
          <t>No (ED I only)</t>
        </is>
      </c>
      <c r="Q5" s="8" t="inlineStr">
        <is>
          <t>-</t>
        </is>
      </c>
      <c r="R5" s="8" t="inlineStr">
        <is>
          <t>Jan 4</t>
        </is>
      </c>
      <c r="S5" s="13" t="inlineStr">
        <is>
          <t>CSS Profile</t>
        </is>
      </c>
      <c r="T5" s="13" t="inlineStr">
        <is>
          <t>The single best neurotech-plus-making combination that also meets full need with no loans. Small int'l aid pool.</t>
        </is>
      </c>
      <c r="U5" s="16" t="inlineStr">
        <is>
          <t>Not started</t>
        </is>
      </c>
    </row>
    <row r="6" ht="88" customHeight="1">
      <c r="A6" s="8" t="n">
        <v>4</v>
      </c>
      <c r="B6" s="9" t="inlineStr">
        <is>
          <t>Johns Hopkins</t>
        </is>
      </c>
      <c r="C6" s="10" t="inlineStr">
        <is>
          <t>Reach</t>
        </is>
      </c>
      <c r="D6" s="8" t="inlineStr">
        <is>
          <t>~8%</t>
        </is>
      </c>
      <c r="E6" s="8" t="inlineStr">
        <is>
          <t>No (need-aware)</t>
        </is>
      </c>
      <c r="F6" s="8" t="inlineStr">
        <is>
          <t>Yes</t>
        </is>
      </c>
      <c r="G6" s="8" t="inlineStr">
        <is>
          <t>Yes - stated for int'l</t>
        </is>
      </c>
      <c r="H6" s="17" t="inlineStr">
        <is>
          <t>Not in top 20</t>
        </is>
      </c>
      <c r="I6" s="17" t="inlineStr">
        <is>
          <t>Not in top 20</t>
        </is>
      </c>
      <c r="J6" s="13" t="inlineStr">
        <is>
          <t>Explicitly meets 100% of need without loans for int'l in ED I, ED II and RD</t>
        </is>
      </c>
      <c r="K6" s="14" t="inlineStr">
        <is>
          <t>Yes - ECE</t>
        </is>
      </c>
      <c r="L6" s="13" t="inlineStr">
        <is>
          <t>WSE design and machine shops (not independently verified)</t>
        </is>
      </c>
      <c r="M6" s="13" t="inlineStr">
        <is>
          <t>Yes - top undergrad neuro</t>
        </is>
      </c>
      <c r="N6" s="6" t="inlineStr">
        <is>
          <t>Kavli Neuroscience Discovery Institute ($20m) + the Neuroengineering &amp; Biomedical Instrumentation Lab + APL brain-computer interface work. Deepest neurotech bench on this list</t>
        </is>
      </c>
      <c r="O6" s="13" t="inlineStr">
        <is>
          <t>MODERATE - research-first culture, less liberal arts feel</t>
        </is>
      </c>
      <c r="P6" s="13" t="inlineStr">
        <is>
          <t>YES - ED II</t>
        </is>
      </c>
      <c r="Q6" s="8" t="inlineStr">
        <is>
          <t>ED II: Jan 2</t>
        </is>
      </c>
      <c r="R6" s="8" t="inlineStr">
        <is>
          <t>Jan 2</t>
        </is>
      </c>
      <c r="S6" s="13" t="inlineStr">
        <is>
          <t>CSS Profile</t>
        </is>
      </c>
      <c r="T6" s="13" t="inlineStr">
        <is>
          <t>If neurotech is the goal, this is the strongest research environment here. Best ED II candidate on substance.</t>
        </is>
      </c>
      <c r="U6" s="16" t="inlineStr">
        <is>
          <t>Not started</t>
        </is>
      </c>
    </row>
    <row r="7" ht="88" customHeight="1">
      <c r="A7" s="8" t="n">
        <v>5</v>
      </c>
      <c r="B7" s="9" t="inlineStr">
        <is>
          <t>Duke</t>
        </is>
      </c>
      <c r="C7" s="10" t="inlineStr">
        <is>
          <t>Reach</t>
        </is>
      </c>
      <c r="D7" s="8" t="inlineStr">
        <is>
          <t>~5%</t>
        </is>
      </c>
      <c r="E7" s="8" t="inlineStr">
        <is>
          <t>No (need-aware)</t>
        </is>
      </c>
      <c r="F7" s="8" t="inlineStr">
        <is>
          <t>Yes</t>
        </is>
      </c>
      <c r="G7" s="8" t="inlineStr">
        <is>
          <t>Yes</t>
        </is>
      </c>
      <c r="H7" s="12" t="n">
        <v>88300</v>
      </c>
      <c r="I7" s="8" t="n">
        <v>190</v>
      </c>
      <c r="J7" s="13" t="inlineStr">
        <is>
          <t>100% of need met, no loans</t>
        </is>
      </c>
      <c r="K7" s="14" t="inlineStr">
        <is>
          <t>Yes - ECE, top-25</t>
        </is>
      </c>
      <c r="L7" s="13" t="inlineStr">
        <is>
          <t>The Foundry (student-run, 7,600 sq ft) plus Innovation Co-Lab</t>
        </is>
      </c>
      <c r="M7" s="13" t="inlineStr">
        <is>
          <t>Yes - top</t>
        </is>
      </c>
      <c r="N7" s="6" t="inlineStr">
        <is>
          <t>Duke Institute for Brain Sciences plus a top-ranked BME department with neural engineering research</t>
        </is>
      </c>
      <c r="O7" s="13" t="inlineStr">
        <is>
          <t>STRONG - Trinity arts &amp; sciences core with full R1 research</t>
        </is>
      </c>
      <c r="P7" s="13" t="inlineStr">
        <is>
          <t>No (ED I only)</t>
        </is>
      </c>
      <c r="Q7" s="8" t="inlineStr">
        <is>
          <t>-</t>
        </is>
      </c>
      <c r="R7" s="8" t="inlineStr">
        <is>
          <t>Jan 2</t>
        </is>
      </c>
      <c r="S7" s="13" t="inlineStr">
        <is>
          <t>CSS Profile</t>
        </is>
      </c>
      <c r="T7" s="13" t="inlineStr">
        <is>
          <t>3rd-highest average award on the US News list. Need-aware: full-aid requests do lower odds.</t>
        </is>
      </c>
      <c r="U7" s="16" t="inlineStr">
        <is>
          <t>Not started</t>
        </is>
      </c>
    </row>
    <row r="8" ht="88" customHeight="1">
      <c r="A8" s="8" t="n">
        <v>6</v>
      </c>
      <c r="B8" s="9" t="inlineStr">
        <is>
          <t>Northwestern</t>
        </is>
      </c>
      <c r="C8" s="10" t="inlineStr">
        <is>
          <t>Reach</t>
        </is>
      </c>
      <c r="D8" s="8" t="inlineStr">
        <is>
          <t>~7%</t>
        </is>
      </c>
      <c r="E8" s="8" t="inlineStr">
        <is>
          <t>No (need-aware)</t>
        </is>
      </c>
      <c r="F8" s="8" t="inlineStr">
        <is>
          <t>Yes</t>
        </is>
      </c>
      <c r="G8" s="8" t="inlineStr">
        <is>
          <t>YES - loan- AND work-free</t>
        </is>
      </c>
      <c r="H8" s="17" t="inlineStr">
        <is>
          <t>Not in top 20</t>
        </is>
      </c>
      <c r="I8" s="17" t="inlineStr">
        <is>
          <t>Not in top 20</t>
        </is>
      </c>
      <c r="J8" s="13" t="inlineStr">
        <is>
          <t>Meets 100% of demonstrated need for admitted int'l with LOAN-FREE AND WORK-FREE packages - the most generous wording of any need-aware school here</t>
        </is>
      </c>
      <c r="K8" s="14" t="inlineStr">
        <is>
          <t>Yes - EE</t>
        </is>
      </c>
      <c r="L8" s="13" t="inlineStr">
        <is>
          <t>The Garage plus Segal Design Institute prototyping labs (not independently verified)</t>
        </is>
      </c>
      <c r="M8" s="13" t="inlineStr">
        <is>
          <t>Yes</t>
        </is>
      </c>
      <c r="N8" s="6" t="inlineStr">
        <is>
          <t>Shirley Ryan AbilityLab - Center for Bionic Medicine and the Neural Engineering for Prosthetics &amp; Orthotics lab. World-leading neuroprosthetics, directly affiliated with Northwestern</t>
        </is>
      </c>
      <c r="O8" s="13" t="inlineStr">
        <is>
          <t>STRONG - Weinberg arts &amp; sciences core with a separate engineering school</t>
        </is>
      </c>
      <c r="P8" s="13" t="inlineStr">
        <is>
          <t>No (ED I only)</t>
        </is>
      </c>
      <c r="Q8" s="8" t="inlineStr">
        <is>
          <t>-</t>
        </is>
      </c>
      <c r="R8" s="8" t="inlineStr">
        <is>
          <t>Jan 2</t>
        </is>
      </c>
      <c r="S8" s="13" t="inlineStr">
        <is>
          <t>CSS Profile</t>
        </is>
      </c>
      <c r="T8" s="13" t="inlineStr">
        <is>
          <t>NEW. Added for neurotech: neuroprosthetics at the AbilityLab is as good as it gets, and the aid wording beats every other need-aware school.</t>
        </is>
      </c>
      <c r="U8" s="16" t="inlineStr">
        <is>
          <t>Not started</t>
        </is>
      </c>
    </row>
    <row r="9" ht="88" customHeight="1">
      <c r="A9" s="8" t="n">
        <v>7</v>
      </c>
      <c r="B9" s="9" t="inlineStr">
        <is>
          <t>Amherst</t>
        </is>
      </c>
      <c r="C9" s="10" t="inlineStr">
        <is>
          <t>Reach</t>
        </is>
      </c>
      <c r="D9" s="8" t="inlineStr">
        <is>
          <t>~6.8%</t>
        </is>
      </c>
      <c r="E9" s="11" t="inlineStr">
        <is>
          <t>YES</t>
        </is>
      </c>
      <c r="F9" s="8" t="inlineStr">
        <is>
          <t>Yes</t>
        </is>
      </c>
      <c r="G9" s="8" t="inlineStr">
        <is>
          <t>Yes</t>
        </is>
      </c>
      <c r="H9" s="12" t="n">
        <v>82600</v>
      </c>
      <c r="I9" s="8" t="n">
        <v>212</v>
      </c>
      <c r="J9" s="13" t="inlineStr">
        <is>
          <t>Need-blind for all applicants; 100% of calculated need for int'l; no loans</t>
        </is>
      </c>
      <c r="K9" s="15" t="inlineStr">
        <is>
          <t>NO - Five College/UMass courses + 3-2 transfer</t>
        </is>
      </c>
      <c r="L9" s="13" t="inlineStr">
        <is>
          <t>College Machine Shop (CNC, mills, lathes, grinders) + physics makerspaces; UMass M5 ECE makerspace via Five College</t>
        </is>
      </c>
      <c r="M9" s="13" t="inlineStr">
        <is>
          <t>Yes - strong</t>
        </is>
      </c>
      <c r="N9" s="15" t="inlineStr">
        <is>
          <t>None. Neuroscience is strong but there is no engineering degree and no neurotech centre</t>
        </is>
      </c>
      <c r="O9" s="13" t="inlineStr">
        <is>
          <t>EXCELLENT on liberal arts, WEAK on engineering credentials</t>
        </is>
      </c>
      <c r="P9" s="13" t="inlineStr">
        <is>
          <t>No (ED I only)</t>
        </is>
      </c>
      <c r="Q9" s="8" t="inlineStr">
        <is>
          <t>-</t>
        </is>
      </c>
      <c r="R9" s="8" t="inlineStr">
        <is>
          <t>Jan 1</t>
        </is>
      </c>
      <c r="S9" s="13" t="inlineStr">
        <is>
          <t>CSS Profile</t>
        </is>
      </c>
      <c r="T9" s="13" t="inlineStr">
        <is>
          <t>212 funded internationals at a 1,900-student college, and need-BLIND. DIRECT OVERLAP WITH POMONA - pick one. Amherst is the safer money; Pomona has better making access.</t>
        </is>
      </c>
      <c r="U9" s="16" t="inlineStr">
        <is>
          <t>Not started</t>
        </is>
      </c>
    </row>
    <row r="10" ht="88" customHeight="1">
      <c r="A10" s="8" t="n">
        <v>8</v>
      </c>
      <c r="B10" s="9" t="inlineStr">
        <is>
          <t>Pomona</t>
        </is>
      </c>
      <c r="C10" s="10" t="inlineStr">
        <is>
          <t>Reach</t>
        </is>
      </c>
      <c r="D10" s="8" t="inlineStr">
        <is>
          <t>~7%</t>
        </is>
      </c>
      <c r="E10" s="8" t="inlineStr">
        <is>
          <t>No (need-aware)</t>
        </is>
      </c>
      <c r="F10" s="8" t="inlineStr">
        <is>
          <t>Yes</t>
        </is>
      </c>
      <c r="G10" s="8" t="inlineStr">
        <is>
          <t>Yes</t>
        </is>
      </c>
      <c r="H10" s="12" t="n">
        <v>86900</v>
      </c>
      <c r="I10" s="8" t="n">
        <v>98</v>
      </c>
      <c r="J10" s="13" t="inlineStr">
        <is>
          <t>Meets the full need of every admitted international; loans are not used to meet need - grant aid plus a modest student employment allotment. Pomona's own figure: 41% of int'l students receive aid, averaging nearly $74,000/yr (US News reports $86,900 - see Fact-check log)</t>
        </is>
      </c>
      <c r="K10" s="15" t="inlineStr">
        <is>
          <t>NO - Harvey Mudd cross-registration + 3-2 with Caltech</t>
        </is>
      </c>
      <c r="L10" s="13" t="inlineStr">
        <is>
          <t>Harvey Mudd Makerspace: 8,000 sq ft, student-run, explicitly open to ALL 7C students including Pomona; plus the Hive design-thinking space</t>
        </is>
      </c>
      <c r="M10" s="13" t="inlineStr">
        <is>
          <t>Yes</t>
        </is>
      </c>
      <c r="N10" s="15" t="inlineStr">
        <is>
          <t>None. Harvey Mudd gives you engineering coursework, not brain research - there is no neurotech centre in Claremont</t>
        </is>
      </c>
      <c r="O10" s="13" t="inlineStr">
        <is>
          <t>EXCELLENT on liberal arts, and the best consortium making access of any LAC here</t>
        </is>
      </c>
      <c r="P10" s="13" t="inlineStr">
        <is>
          <t>No (ED I only)</t>
        </is>
      </c>
      <c r="Q10" s="8" t="inlineStr">
        <is>
          <t>-</t>
        </is>
      </c>
      <c r="R10" s="8" t="inlineStr">
        <is>
          <t>Jan 5</t>
        </is>
      </c>
      <c r="S10" s="13" t="inlineStr">
        <is>
          <t>CSS Profile</t>
        </is>
      </c>
      <c r="T10" s="13" t="inlineStr">
        <is>
          <t>NEW. DIRECT OVERLAP WITH AMHERST - you should pick one. Pomona wins on making access (Mudd is a short walk); Amherst wins on aid security (need-blind vs need-aware, 212 funded vs 98).</t>
        </is>
      </c>
      <c r="U10" s="16" t="inlineStr">
        <is>
          <t>Not started</t>
        </is>
      </c>
    </row>
    <row r="11" ht="88" customHeight="1">
      <c r="A11" s="8" t="n">
        <v>9</v>
      </c>
      <c r="B11" s="9" t="inlineStr">
        <is>
          <t>Vanderbilt</t>
        </is>
      </c>
      <c r="C11" s="10" t="inlineStr">
        <is>
          <t>Reach</t>
        </is>
      </c>
      <c r="D11" s="8" t="inlineStr">
        <is>
          <t>~6%</t>
        </is>
      </c>
      <c r="E11" s="8" t="inlineStr">
        <is>
          <t>No (need-aware)</t>
        </is>
      </c>
      <c r="F11" s="8" t="inlineStr">
        <is>
          <t>Yes</t>
        </is>
      </c>
      <c r="G11" s="8" t="inlineStr">
        <is>
          <t>Yes</t>
        </is>
      </c>
      <c r="H11" s="17" t="inlineStr">
        <is>
          <t>Not in top 20</t>
        </is>
      </c>
      <c r="I11" s="17" t="inlineStr">
        <is>
          <t>Not in top 20</t>
        </is>
      </c>
      <c r="J11" s="13" t="inlineStr">
        <is>
          <t>Opportunity Vanderbilt: 100% of need, no institutional loans; limited int'l pool, need-aware</t>
        </is>
      </c>
      <c r="K11" s="14" t="inlineStr">
        <is>
          <t>Yes - EE; Neural Engineering sits in Biomedical Engineering</t>
        </is>
      </c>
      <c r="L11" s="13" t="inlineStr">
        <is>
          <t>The Wond'ry: 13,000 sq ft, FOUR co-located makerspaces including a dedicated ELECTRICAL MAKERSPACE</t>
        </is>
      </c>
      <c r="M11" s="13" t="inlineStr">
        <is>
          <t>Yes</t>
        </is>
      </c>
      <c r="N11" s="6" t="inlineStr">
        <is>
          <t>Vanderbilt Brain Institute plus a Neural Engineering track in BME, next door to the Wond'ry's electrical makerspace</t>
        </is>
      </c>
      <c r="O11" s="13" t="inlineStr">
        <is>
          <t>STRONG - College of Arts &amp; Science core with an engineering school attached</t>
        </is>
      </c>
      <c r="P11" s="13" t="inlineStr">
        <is>
          <t>YES - ED II</t>
        </is>
      </c>
      <c r="Q11" s="8" t="inlineStr">
        <is>
          <t>ED II: Jan 1</t>
        </is>
      </c>
      <c r="R11" s="8" t="inlineStr">
        <is>
          <t>Jan 1</t>
        </is>
      </c>
      <c r="S11" s="13" t="inlineStr">
        <is>
          <t>CSS Profile</t>
        </is>
      </c>
      <c r="T11" s="13" t="inlineStr">
        <is>
          <t>~6% for the Class of 2030, among the lowest in the US. Great facilities, risky for a binding round.</t>
        </is>
      </c>
      <c r="U11" s="16" t="inlineStr">
        <is>
          <t>Not started</t>
        </is>
      </c>
    </row>
    <row r="12" ht="88" customHeight="1">
      <c r="A12" s="8" t="n">
        <v>10</v>
      </c>
      <c r="B12" s="9" t="inlineStr">
        <is>
          <t>Notre Dame</t>
        </is>
      </c>
      <c r="C12" s="18" t="inlineStr">
        <is>
          <t>Hard target</t>
        </is>
      </c>
      <c r="D12" s="8" t="inlineStr">
        <is>
          <t>~9-12%</t>
        </is>
      </c>
      <c r="E12" s="11" t="inlineStr">
        <is>
          <t>YES</t>
        </is>
      </c>
      <c r="F12" s="8" t="inlineStr">
        <is>
          <t>Yes</t>
        </is>
      </c>
      <c r="G12" s="8" t="inlineStr">
        <is>
          <t>Yes</t>
        </is>
      </c>
      <c r="H12" s="17" t="inlineStr">
        <is>
          <t>Not in top 20</t>
        </is>
      </c>
      <c r="I12" s="17" t="inlineStr">
        <is>
          <t>Not in top 20</t>
        </is>
      </c>
      <c r="J12" s="13" t="inlineStr">
        <is>
          <t>Need-blind for int'l; no loans; free tuition under $150k income from 2026-27</t>
        </is>
      </c>
      <c r="K12" s="14" t="inlineStr">
        <is>
          <t>Yes - ABET EE</t>
        </is>
      </c>
      <c r="L12" s="13" t="inlineStr">
        <is>
          <t>IDEA Center and engineering design studios (not independently verified)</t>
        </is>
      </c>
      <c r="M12" s="13" t="inlineStr">
        <is>
          <t>Yes - Neuroscience &amp; Behavior</t>
        </is>
      </c>
      <c r="N12" s="15" t="inlineStr">
        <is>
          <t>No dedicated neurotech institute. Strong EE and a neuroscience major, but this is an aid pick, not a neurotech pick</t>
        </is>
      </c>
      <c r="O12" s="13" t="inlineStr">
        <is>
          <t>STRONG - core-curriculum university, undergrad-focused</t>
        </is>
      </c>
      <c r="P12" s="13" t="inlineStr">
        <is>
          <t>No (REA conflicts)</t>
        </is>
      </c>
      <c r="Q12" s="8" t="inlineStr">
        <is>
          <t>-</t>
        </is>
      </c>
      <c r="R12" s="8" t="inlineStr">
        <is>
          <t>Jan 1</t>
        </is>
      </c>
      <c r="S12" s="13" t="inlineStr">
        <is>
          <t>CSS Profile</t>
        </is>
      </c>
      <c r="T12" s="13" t="inlineStr">
        <is>
          <t>Best aid criteria match at a realistic admit rate. Highest-priority RD application.</t>
        </is>
      </c>
      <c r="U12" s="16" t="inlineStr">
        <is>
          <t>Not started</t>
        </is>
      </c>
    </row>
    <row r="13" ht="88" customHeight="1">
      <c r="A13" s="8" t="n">
        <v>11</v>
      </c>
      <c r="B13" s="9" t="inlineStr">
        <is>
          <t>WashU</t>
        </is>
      </c>
      <c r="C13" s="18" t="inlineStr">
        <is>
          <t>Hard target</t>
        </is>
      </c>
      <c r="D13" s="8" t="inlineStr">
        <is>
          <t>~12%</t>
        </is>
      </c>
      <c r="E13" s="8" t="inlineStr">
        <is>
          <t>No (need-aware)</t>
        </is>
      </c>
      <c r="F13" s="8" t="inlineStr">
        <is>
          <t>Yes</t>
        </is>
      </c>
      <c r="G13" s="8" t="inlineStr">
        <is>
          <t>Yes</t>
        </is>
      </c>
      <c r="H13" s="17" t="inlineStr">
        <is>
          <t>Not in top 20</t>
        </is>
      </c>
      <c r="I13" s="17" t="inlineStr">
        <is>
          <t>Not in top 20</t>
        </is>
      </c>
      <c r="J13" s="13" t="inlineStr">
        <is>
          <t>Institution-wide no-loan policy; 100% of need met</t>
        </is>
      </c>
      <c r="K13" s="14" t="inlineStr">
        <is>
          <t>Yes - EE</t>
        </is>
      </c>
      <c r="L13" s="13" t="inlineStr">
        <is>
          <t>McKelvey design labs + Sam Fox digital fabrication (not independently verified)</t>
        </is>
      </c>
      <c r="M13" s="13" t="inlineStr">
        <is>
          <t>Yes - elite</t>
        </is>
      </c>
      <c r="N13" s="6" t="inlineStr">
        <is>
          <t>McKelvey Neuroengineering programme built with WashU Medicine, spanning EE, BME, CS and neuroscience; strong brain-computer interface research</t>
        </is>
      </c>
      <c r="O13" s="13" t="inlineStr">
        <is>
          <t>STRONG - open curriculum across schools</t>
        </is>
      </c>
      <c r="P13" s="13" t="inlineStr">
        <is>
          <t>YES - ED II</t>
        </is>
      </c>
      <c r="Q13" s="8" t="inlineStr">
        <is>
          <t>ED II: Jan 2</t>
        </is>
      </c>
      <c r="R13" s="8" t="inlineStr">
        <is>
          <t>Jan 2</t>
        </is>
      </c>
      <c r="S13" s="13" t="inlineStr">
        <is>
          <t>CSS Profile</t>
        </is>
      </c>
      <c r="T13" s="13" t="inlineStr">
        <is>
          <t>Softest admit rate among the elite research universities, with real neuroengineering. Safest ED II on odds.</t>
        </is>
      </c>
      <c r="U13" s="16" t="inlineStr">
        <is>
          <t>Not started</t>
        </is>
      </c>
    </row>
    <row r="14" ht="88" customHeight="1">
      <c r="A14" s="8" t="n">
        <v>12</v>
      </c>
      <c r="B14" s="9" t="inlineStr">
        <is>
          <t>Swarthmore</t>
        </is>
      </c>
      <c r="C14" s="18" t="inlineStr">
        <is>
          <t>Hard target</t>
        </is>
      </c>
      <c r="D14" s="8" t="inlineStr">
        <is>
          <t>~7%</t>
        </is>
      </c>
      <c r="E14" s="8" t="inlineStr">
        <is>
          <t>No (need-aware)</t>
        </is>
      </c>
      <c r="F14" s="8" t="inlineStr">
        <is>
          <t>Yes</t>
        </is>
      </c>
      <c r="G14" s="8" t="inlineStr">
        <is>
          <t>Yes - explicitly for int'l</t>
        </is>
      </c>
      <c r="H14" s="12" t="n">
        <v>81200</v>
      </c>
      <c r="I14" s="8" t="n">
        <v>70</v>
      </c>
      <c r="J14" s="13" t="inlineStr">
        <is>
          <t>States loan-free aid FOR INTERNATIONALS on its own aid page - rare</t>
        </is>
      </c>
      <c r="K14" s="14" t="inlineStr">
        <is>
          <t>Yes - full ABET engineering dept</t>
        </is>
      </c>
      <c r="L14" s="13" t="inlineStr">
        <is>
          <t>Swarthmore MakerSpace (Whittier Hall): waterjet cutter, laser cutter, 3D printers/scanner, full wood shop</t>
        </is>
      </c>
      <c r="M14" s="13" t="inlineStr">
        <is>
          <t>Yes</t>
        </is>
      </c>
      <c r="N14" s="15" t="inlineStr">
        <is>
          <t>None - LAC scale, no neurotech centre. You would build the projects yourself</t>
        </is>
      </c>
      <c r="O14" s="13" t="inlineStr">
        <is>
          <t>EXCELLENT - LAC with a full ABET engineering department (not unique: Union, Lafayette, Bucknell, Trinity also qualify)</t>
        </is>
      </c>
      <c r="P14" s="13" t="inlineStr">
        <is>
          <t>YES - ED II</t>
        </is>
      </c>
      <c r="Q14" s="8" t="inlineStr">
        <is>
          <t>ED II: Jan 5</t>
        </is>
      </c>
      <c r="R14" s="8" t="inlineStr">
        <is>
          <t>Jan 5</t>
        </is>
      </c>
      <c r="S14" s="13" t="inlineStr">
        <is>
          <t>CSS Profile</t>
        </is>
      </c>
      <c r="T14" s="13" t="inlineStr">
        <is>
          <t>Only 70 funded internationals, so the pool is tiny.</t>
        </is>
      </c>
      <c r="U14" s="16" t="inlineStr">
        <is>
          <t>Not started</t>
        </is>
      </c>
    </row>
    <row r="15" ht="88" customHeight="1">
      <c r="A15" s="8" t="n">
        <v>13</v>
      </c>
      <c r="B15" s="9" t="inlineStr">
        <is>
          <t>Tufts</t>
        </is>
      </c>
      <c r="C15" s="18" t="inlineStr">
        <is>
          <t>Hard target</t>
        </is>
      </c>
      <c r="D15" s="8" t="inlineStr">
        <is>
          <t>~10%</t>
        </is>
      </c>
      <c r="E15" s="8" t="inlineStr">
        <is>
          <t>No (need-aware)</t>
        </is>
      </c>
      <c r="F15" s="8" t="inlineStr">
        <is>
          <t>Yes - regardless of citizenship</t>
        </is>
      </c>
      <c r="G15" s="8" t="inlineStr">
        <is>
          <t>Only under ~$60k income</t>
        </is>
      </c>
      <c r="H15" s="12" t="n">
        <v>80100</v>
      </c>
      <c r="I15" s="8" t="n">
        <v>231</v>
      </c>
      <c r="J15" s="13" t="inlineStr">
        <is>
          <t>Meets 100% of need for every admitted student regardless of citizenship. The Tufts Tuition Pact (free tuition under $150k, from fall 2026) is US-ONLY</t>
        </is>
      </c>
      <c r="K15" s="14" t="inlineStr">
        <is>
          <t>Yes - ECE</t>
        </is>
      </c>
      <c r="L15" s="13" t="inlineStr">
        <is>
          <t>Nolop FAST Facility - open to ALL students, no experience required - plus the Tufts Maker Network</t>
        </is>
      </c>
      <c r="M15" s="13" t="inlineStr">
        <is>
          <t>Yes</t>
        </is>
      </c>
      <c r="N15" s="6" t="inlineStr">
        <is>
          <t>Neuroscience plus BME with neural engineering research; no flagship neurotech institute</t>
        </is>
      </c>
      <c r="O15" s="13" t="inlineStr">
        <is>
          <t>EXCELLENT - liberal arts identity with an engineering school</t>
        </is>
      </c>
      <c r="P15" s="13" t="inlineStr">
        <is>
          <t>YES - ED II</t>
        </is>
      </c>
      <c r="Q15" s="8" t="inlineStr">
        <is>
          <t>ED II: Jan 5</t>
        </is>
      </c>
      <c r="R15" s="8" t="inlineStr">
        <is>
          <t>Jan 4</t>
        </is>
      </c>
      <c r="S15" s="13" t="inlineStr">
        <is>
          <t>CSS Profile</t>
        </is>
      </c>
      <c r="T15" s="13" t="inlineStr">
        <is>
          <t>231 funded internationals. No-loan only below ~$60k family income.</t>
        </is>
      </c>
      <c r="U15" s="16" t="inlineStr">
        <is>
          <t>Not started</t>
        </is>
      </c>
    </row>
    <row r="16" ht="88" customHeight="1">
      <c r="A16" s="8" t="n">
        <v>14</v>
      </c>
      <c r="B16" s="9" t="inlineStr">
        <is>
          <t>Washington &amp; Lee</t>
        </is>
      </c>
      <c r="C16" s="19" t="inlineStr">
        <is>
          <t>Target</t>
        </is>
      </c>
      <c r="D16" s="8" t="inlineStr">
        <is>
          <t>~17%</t>
        </is>
      </c>
      <c r="E16" s="11" t="inlineStr">
        <is>
          <t>YES</t>
        </is>
      </c>
      <c r="F16" s="8" t="inlineStr">
        <is>
          <t>Yes</t>
        </is>
      </c>
      <c r="G16" s="8" t="inlineStr">
        <is>
          <t>Yes</t>
        </is>
      </c>
      <c r="H16" s="17" t="inlineStr">
        <is>
          <t>Not in top 20</t>
        </is>
      </c>
      <c r="I16" s="17" t="inlineStr">
        <is>
          <t>Not in top 20</t>
        </is>
      </c>
      <c r="J16" s="13" t="inlineStr">
        <is>
          <t>W&amp;L Promise: no tuition under $150k income; no tuition/room/board under $75k; no loans</t>
        </is>
      </c>
      <c r="K16" s="14" t="inlineStr">
        <is>
          <t>Physics-Engineering major (not ABET) + 3-2 transfer</t>
        </is>
      </c>
      <c r="L16" s="13" t="inlineStr">
        <is>
          <t>IQ Center Maker Lab (HHMI-funded) + Howe Hall labs for electronics, digital data acquisition, optics, mechanics</t>
        </is>
      </c>
      <c r="M16" s="13" t="inlineStr">
        <is>
          <t>Yes</t>
        </is>
      </c>
      <c r="N16" s="15" t="inlineStr">
        <is>
          <t>None. Excellent instrumentation for self-directed projects, no neurotech research programme</t>
        </is>
      </c>
      <c r="O16" s="13" t="inlineStr">
        <is>
          <t>EXCELLENT - LAC with unusually well-funded science facilities</t>
        </is>
      </c>
      <c r="P16" s="13" t="inlineStr">
        <is>
          <t>YES - ED II</t>
        </is>
      </c>
      <c r="Q16" s="8" t="inlineStr">
        <is>
          <t>ED II: Jan 1</t>
        </is>
      </c>
      <c r="R16" s="8" t="inlineStr">
        <is>
          <t>Jan 1</t>
        </is>
      </c>
      <c r="S16" s="13" t="inlineStr">
        <is>
          <t>CSS Profile</t>
        </is>
      </c>
      <c r="T16" s="13" t="inlineStr">
        <is>
          <t>Only need-blind school here with a &gt;15% admit rate. Now your most attainable school - guard it.</t>
        </is>
      </c>
      <c r="U16" s="16" t="inlineStr">
        <is>
          <t>Not started</t>
        </is>
      </c>
    </row>
    <row r="17" ht="88" customHeight="1">
      <c r="A17" s="8" t="n">
        <v>15</v>
      </c>
      <c r="B17" s="9" t="inlineStr">
        <is>
          <t>Lafayette</t>
        </is>
      </c>
      <c r="C17" s="19" t="inlineStr">
        <is>
          <t>Target</t>
        </is>
      </c>
      <c r="D17" s="8" t="inlineStr">
        <is>
          <t>~32%</t>
        </is>
      </c>
      <c r="E17" s="8" t="inlineStr">
        <is>
          <t>No (need-aware)</t>
        </is>
      </c>
      <c r="F17" s="8" t="inlineStr">
        <is>
          <t>Yes - for admitted int'l</t>
        </is>
      </c>
      <c r="G17" s="8" t="inlineStr">
        <is>
          <t>Package MAY include a loan</t>
        </is>
      </c>
      <c r="H17" s="17" t="inlineStr">
        <is>
          <t>Not in top 20</t>
        </is>
      </c>
      <c r="I17" s="17" t="inlineStr">
        <is>
          <t>Not in top 20</t>
        </is>
      </c>
      <c r="J17" s="13" t="inlineStr">
        <is>
          <t>Meets full demonstrated need for admitted int'l via CSS Profile</t>
        </is>
      </c>
      <c r="K17" s="14" t="inlineStr">
        <is>
          <t>Yes - ABET ECE</t>
        </is>
      </c>
      <c r="L17" s="13" t="inlineStr">
        <is>
          <t>Dyer Center Makerspace: 3D printers, laser engraver, vinyl cutter, hand tools. Craft/light-fab; no CNC listed</t>
        </is>
      </c>
      <c r="M17" s="13" t="inlineStr">
        <is>
          <t>Yes</t>
        </is>
      </c>
      <c r="N17" s="15" t="inlineStr">
        <is>
          <t>None at institute level; ABET electrical &amp; computer engineering plus a neuroscience major is the combination</t>
        </is>
      </c>
      <c r="O17" s="13" t="inlineStr">
        <is>
          <t>EXCELLENT - LAC-sized with four ABET engineering degrees</t>
        </is>
      </c>
      <c r="P17" s="13" t="inlineStr">
        <is>
          <t>YES - ED II</t>
        </is>
      </c>
      <c r="Q17" s="8" t="inlineStr">
        <is>
          <t>ED II: Jan 5</t>
        </is>
      </c>
      <c r="R17" s="8" t="inlineStr">
        <is>
          <t>Jan 15</t>
        </is>
      </c>
      <c r="S17" s="13" t="inlineStr">
        <is>
          <t>CSS Profile</t>
        </is>
      </c>
      <c r="T17" s="13" t="inlineStr">
        <is>
          <t>Must request aid as a first-year - none granted later.</t>
        </is>
      </c>
      <c r="U17" s="16" t="inlineStr">
        <is>
          <t>Not started</t>
        </is>
      </c>
    </row>
    <row r="18" ht="88" customHeight="1">
      <c r="A18" s="8" t="n">
        <v>16</v>
      </c>
      <c r="B18" s="9" t="inlineStr">
        <is>
          <t>Union College</t>
        </is>
      </c>
      <c r="C18" s="20" t="inlineStr">
        <is>
          <t>Likely</t>
        </is>
      </c>
      <c r="D18" s="8" t="inlineStr">
        <is>
          <t>~44%</t>
        </is>
      </c>
      <c r="E18" s="8" t="inlineStr">
        <is>
          <t>No (need-aware)</t>
        </is>
      </c>
      <c r="F18" s="8" t="inlineStr">
        <is>
          <t>Not guaranteed</t>
        </is>
      </c>
      <c r="G18" s="8" t="inlineStr">
        <is>
          <t>Not guaranteed</t>
        </is>
      </c>
      <c r="H18" s="17" t="inlineStr">
        <is>
          <t>Not in top 20</t>
        </is>
      </c>
      <c r="I18" s="17" t="inlineStr">
        <is>
          <t>Not in top 20</t>
        </is>
      </c>
      <c r="J18" s="13" t="inlineStr">
        <is>
          <t>Need-based plus merit; amounts vary widely for int'l</t>
        </is>
      </c>
      <c r="K18" s="14" t="inlineStr">
        <is>
          <t>Yes - SEVEN ABET majors including EE</t>
        </is>
      </c>
      <c r="L18" s="13" t="inlineStr">
        <is>
          <t>MakerWeb - FIVE makerspaces: CNC router, laser cutter, 3D printers and scanners, industrial machining, soldering stations, Arduino kits</t>
        </is>
      </c>
      <c r="M18" s="13" t="inlineStr">
        <is>
          <t>Yes</t>
        </is>
      </c>
      <c r="N18" s="15" t="inlineStr">
        <is>
          <t>No centre, but EE + BME + neuroscience all exist in-house at undergraduate scale - you can build the neurotech project yourself</t>
        </is>
      </c>
      <c r="O18" s="13" t="inlineStr">
        <is>
          <t>EXCELLENT - LAC with seven ABET engineering majors plus neuroscience</t>
        </is>
      </c>
      <c r="P18" s="13" t="inlineStr">
        <is>
          <t>YES - ED II</t>
        </is>
      </c>
      <c r="Q18" s="8" t="inlineStr">
        <is>
          <t>ED II: Jan 15</t>
        </is>
      </c>
      <c r="R18" s="8" t="inlineStr">
        <is>
          <t>Jan 15</t>
        </is>
      </c>
      <c r="S18" s="13" t="inlineStr">
        <is>
          <t>CSS Profile</t>
        </is>
      </c>
      <c r="T18" s="13" t="inlineStr">
        <is>
          <t>NOW YOUR FLOOR. With safeties cut, this is the only school on the list above a 20% admit rate. Aid is NOT guaranteed - run the NPC before you rely on it.</t>
        </is>
      </c>
      <c r="U18" s="16" t="inlineStr">
        <is>
          <t>Not started</t>
        </is>
      </c>
    </row>
    <row r="20">
      <c r="B20" s="21" t="inlineStr">
        <is>
          <t>SUMMARY</t>
        </is>
      </c>
    </row>
    <row r="21">
      <c r="B21" s="22" t="inlineStr">
        <is>
          <t>Yale (SCEA, already decided)</t>
        </is>
      </c>
      <c r="C21" s="23" t="n">
        <v>1</v>
      </c>
    </row>
    <row r="22">
      <c r="B22" s="22" t="inlineStr">
        <is>
          <t>Reach</t>
        </is>
      </c>
      <c r="C22" s="23" t="n">
        <v>9</v>
      </c>
    </row>
    <row r="23">
      <c r="B23" s="22" t="inlineStr">
        <is>
          <t>Hard target</t>
        </is>
      </c>
      <c r="C23" s="23" t="n">
        <v>4</v>
      </c>
    </row>
    <row r="24">
      <c r="B24" s="22" t="inlineStr">
        <is>
          <t>Target</t>
        </is>
      </c>
      <c r="C24" s="23" t="n">
        <v>2</v>
      </c>
    </row>
    <row r="25">
      <c r="B25" s="22" t="inlineStr">
        <is>
          <t>Likely</t>
        </is>
      </c>
      <c r="C25" s="23" t="n">
        <v>1</v>
      </c>
    </row>
    <row r="26">
      <c r="B26" s="22" t="inlineStr">
        <is>
          <t>Safety</t>
        </is>
      </c>
      <c r="C26" s="24" t="n">
        <v>0</v>
      </c>
    </row>
    <row r="27">
      <c r="B27" s="25" t="inlineStr">
        <is>
          <t>Schools to apply to (excl. Yale)</t>
        </is>
      </c>
      <c r="C27" s="23" t="n">
        <v>16</v>
      </c>
    </row>
    <row r="28">
      <c r="B28" s="25" t="inlineStr">
        <is>
          <t>Need-blind for int'l</t>
        </is>
      </c>
      <c r="C28" s="23" t="n">
        <v>6</v>
      </c>
    </row>
    <row r="29">
      <c r="B29" s="25" t="inlineStr">
        <is>
          <t>Offer an engineering degree</t>
        </is>
      </c>
      <c r="C29" s="23" t="n">
        <v>15</v>
      </c>
    </row>
    <row r="30">
      <c r="B30" s="25" t="inlineStr">
        <is>
          <t>Named neurotech centre</t>
        </is>
      </c>
      <c r="C30" s="23" t="n">
        <v>9</v>
      </c>
    </row>
    <row r="31">
      <c r="B31" s="25" t="inlineStr">
        <is>
          <t>ED II available to you</t>
        </is>
      </c>
      <c r="C31" s="23" t="n">
        <v>8</v>
      </c>
    </row>
    <row r="32">
      <c r="B32" s="25" t="inlineStr">
        <is>
          <t>Above a 20% admit rate</t>
        </is>
      </c>
      <c r="C32" s="23" t="n">
        <v>3</v>
      </c>
    </row>
    <row r="34">
      <c r="B34" s="26" t="inlineStr">
        <is>
          <t>RISK NOTE - you cut the safeties, so this is now a top-heavy list. Twelve of the fifteen sit at or below a 12% admit rate, and international admit rates run lower again at every one of them. Washington &amp; Lee (17%), Lafayette (32%) and Union (44%) are the entire floor, and Union does not guarantee aid. If all three of those come back negative there is no fallback in this list.</t>
        </is>
      </c>
    </row>
    <row r="36">
      <c r="B36" s="27" t="inlineStr">
        <is>
          <t>Aid figures: U.S. News survey of 823 universities, 2024-25 (average across all schools $25,100). 'Not in top 20' is not a judgement on generosity. Admit rates are overall rates; international rates run lower. Facilities marked 'not independently verified' were stated from general knowledge - see the Fact-check log tab.</t>
        </is>
      </c>
    </row>
  </sheetData>
  <autoFilter ref="A1:U18"/>
  <dataValidations count="1">
    <dataValidation sqref="U2:U18" showDropDown="0" showInputMessage="0" showErrorMessage="0" allowBlank="1" type="list">
      <formula1>"Not started,Drafting,Submitted,Admitted,Denied,Waitlisted"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0" customWidth="1" min="2" max="2"/>
    <col width="15" customWidth="1" min="3" max="3"/>
    <col width="13" customWidth="1" min="4" max="4"/>
    <col width="18" customWidth="1" min="5" max="5"/>
    <col width="22" customWidth="1" min="6" max="6"/>
    <col width="96" customWidth="1" min="7" max="7"/>
  </cols>
  <sheetData>
    <row r="1" ht="42" customHeight="1">
      <c r="A1" s="1" t="inlineStr">
        <is>
          <t>Rank</t>
        </is>
      </c>
      <c r="B1" s="1" t="inlineStr">
        <is>
          <t>School</t>
        </is>
      </c>
      <c r="C1" s="1" t="inlineStr">
        <is>
          <t>Avg aid per int'l</t>
        </is>
      </c>
      <c r="D1" s="1" t="inlineStr">
        <is>
          <t># int'l funded</t>
        </is>
      </c>
      <c r="E1" s="1" t="inlineStr">
        <is>
          <t>Verdict</t>
        </is>
      </c>
      <c r="F1" s="1" t="inlineStr">
        <is>
          <t>Reason category</t>
        </is>
      </c>
      <c r="G1" s="1" t="inlineStr">
        <is>
          <t>Why</t>
        </is>
      </c>
    </row>
    <row r="2" ht="62" customHeight="1">
      <c r="A2" s="8" t="n">
        <v>1</v>
      </c>
      <c r="B2" s="9" t="inlineStr">
        <is>
          <t>Wesleyan</t>
        </is>
      </c>
      <c r="C2" s="12" t="n">
        <v>90100</v>
      </c>
      <c r="D2" s="8" t="n">
        <v>108</v>
      </c>
      <c r="E2" s="10" t="inlineStr">
        <is>
          <t>OUT</t>
        </is>
      </c>
      <c r="F2" s="13" t="inlineStr">
        <is>
          <t>No engineering</t>
        </is>
      </c>
      <c r="G2" s="13" t="inlineStr">
        <is>
          <t>Highest average award anywhere, and 108 funded. But no engineering degree, no major fabrication facility, and no published no-loan guarantee for internationals. Fails your making filter on all three counts.</t>
        </is>
      </c>
    </row>
    <row r="3" ht="62" customHeight="1">
      <c r="A3" s="8" t="n">
        <v>2</v>
      </c>
      <c r="B3" s="9" t="inlineStr">
        <is>
          <t>Williams</t>
        </is>
      </c>
      <c r="C3" s="12" t="n">
        <v>88400</v>
      </c>
      <c r="D3" s="8" t="n">
        <v>123</v>
      </c>
      <c r="E3" s="10" t="inlineStr">
        <is>
          <t>OUT</t>
        </is>
      </c>
      <c r="F3" s="13" t="inlineStr">
        <is>
          <t>No engineering</t>
        </is>
      </c>
      <c r="G3" s="13" t="inlineStr">
        <is>
          <t>Loan-free and very generous, ~9% admit. Zero engineering and only light shop facilities. Duplicates Amherst at worse odds with less making capacity.</t>
        </is>
      </c>
    </row>
    <row r="4" ht="62" customHeight="1">
      <c r="A4" s="8" t="n">
        <v>3</v>
      </c>
      <c r="B4" s="9" t="inlineStr">
        <is>
          <t>Duke</t>
        </is>
      </c>
      <c r="C4" s="12" t="n">
        <v>88300</v>
      </c>
      <c r="D4" s="8" t="n">
        <v>190</v>
      </c>
      <c r="E4" s="20" t="inlineStr">
        <is>
          <t>IN - Reach</t>
        </is>
      </c>
      <c r="F4" s="13" t="inlineStr">
        <is>
          <t>-</t>
        </is>
      </c>
      <c r="G4" s="13" t="inlineStr">
        <is>
          <t>3rd-highest average award, top-25 ECE, top neuroscience, and The Foundry (student-run, 8,000 sq ft) plus the Innovation Co-Lab. Clears every filter.</t>
        </is>
      </c>
    </row>
    <row r="5" ht="62" customHeight="1">
      <c r="A5" s="8" t="n">
        <v>4</v>
      </c>
      <c r="B5" s="9" t="inlineStr">
        <is>
          <t>Wellesley</t>
        </is>
      </c>
      <c r="C5" s="12" t="n">
        <v>88100</v>
      </c>
      <c r="D5" s="8" t="n">
        <v>80</v>
      </c>
      <c r="E5" s="10" t="inlineStr">
        <is>
          <t>OUT</t>
        </is>
      </c>
      <c r="F5" s="13" t="inlineStr">
        <is>
          <t>Not eligible</t>
        </is>
      </c>
      <c r="G5" s="13" t="inlineStr">
        <is>
          <t>Women's college.</t>
        </is>
      </c>
    </row>
    <row r="6" ht="62" customHeight="1">
      <c r="A6" s="8" t="n">
        <v>5</v>
      </c>
      <c r="B6" s="9" t="inlineStr">
        <is>
          <t>Haverford</t>
        </is>
      </c>
      <c r="C6" s="12" t="n">
        <v>87500</v>
      </c>
      <c r="D6" s="8" t="n">
        <v>56</v>
      </c>
      <c r="E6" s="10" t="inlineStr">
        <is>
          <t>OUT</t>
        </is>
      </c>
      <c r="F6" s="13" t="inlineStr">
        <is>
          <t>Thin pool</t>
        </is>
      </c>
      <c r="G6" s="13" t="inlineStr">
        <is>
          <t>Loan-free, and Tri-College consortium access lets Haverford students take Swarthmore engineering courses - a real path. But only 56 funded internationals is the thinnest pool on the list. If you like the profile, apply to Swarthmore directly instead.</t>
        </is>
      </c>
    </row>
    <row r="7" ht="62" customHeight="1">
      <c r="A7" s="8" t="n">
        <v>6</v>
      </c>
      <c r="B7" s="9" t="inlineStr">
        <is>
          <t>Pomona</t>
        </is>
      </c>
      <c r="C7" s="12" t="n">
        <v>86900</v>
      </c>
      <c r="D7" s="8" t="n">
        <v>98</v>
      </c>
      <c r="E7" s="20" t="inlineStr">
        <is>
          <t>IN - Reach</t>
        </is>
      </c>
      <c r="F7" s="13" t="inlineStr">
        <is>
          <t>-</t>
        </is>
      </c>
      <c r="G7" s="13" t="inlineStr">
        <is>
          <t>ADDED. Meets full need of every admitted int'l with no loans used to meet need. Claremont cross-registration reaches the Harvey Mudd Makerspace - 8,000 sq ft, student-run, open to all 7C students. Need-AWARE and only 98 funded, and it directly overlaps Amherst. Pick one of the two.</t>
        </is>
      </c>
    </row>
    <row r="8" ht="62" customHeight="1">
      <c r="A8" s="8" t="n">
        <v>7</v>
      </c>
      <c r="B8" s="9" t="inlineStr">
        <is>
          <t>Vassar</t>
        </is>
      </c>
      <c r="C8" s="12" t="n">
        <v>86300</v>
      </c>
      <c r="D8" s="8" t="n">
        <v>54</v>
      </c>
      <c r="E8" s="10" t="inlineStr">
        <is>
          <t>OUT</t>
        </is>
      </c>
      <c r="F8" s="13" t="inlineStr">
        <is>
          <t>Thin pool + no engineering</t>
        </is>
      </c>
      <c r="G8" s="13" t="inlineStr">
        <is>
          <t>54 funded internationals and no engineering. Both filters fail.</t>
        </is>
      </c>
    </row>
    <row r="9" ht="62" customHeight="1">
      <c r="A9" s="8" t="n">
        <v>8</v>
      </c>
      <c r="B9" s="9" t="inlineStr">
        <is>
          <t>Stanford</t>
        </is>
      </c>
      <c r="C9" s="12" t="n">
        <v>84900</v>
      </c>
      <c r="D9" s="8" t="n">
        <v>260</v>
      </c>
      <c r="E9" s="10" t="inlineStr">
        <is>
          <t>OUT</t>
        </is>
      </c>
      <c r="F9" s="13" t="inlineStr">
        <is>
          <t>Your exclusion</t>
        </is>
      </c>
      <c r="G9" s="13" t="inlineStr">
        <is>
          <t>You excluded Stanford at the start.</t>
        </is>
      </c>
    </row>
    <row r="10" ht="62" customHeight="1">
      <c r="A10" s="8" t="n">
        <v>9</v>
      </c>
      <c r="B10" s="9" t="inlineStr">
        <is>
          <t>Cornell</t>
        </is>
      </c>
      <c r="C10" s="12" t="n">
        <v>84400</v>
      </c>
      <c r="D10" s="8" t="n">
        <v>349</v>
      </c>
      <c r="E10" s="10" t="inlineStr">
        <is>
          <t>OUT</t>
        </is>
      </c>
      <c r="F10" s="13" t="inlineStr">
        <is>
          <t>Fails no-loan</t>
        </is>
      </c>
      <c r="G10" s="13" t="inlineStr">
        <is>
          <t>349 funded internationals - the 3rd-largest pool here - and real ECE. But Cornell meets int'l need with grants, work-study AND 'reasonable student loans' scaled to income. The only Ivy that breaks your no-loan rule.</t>
        </is>
      </c>
    </row>
    <row r="11" ht="62" customHeight="1">
      <c r="A11" s="8" t="n">
        <v>10</v>
      </c>
      <c r="B11" s="9" t="inlineStr">
        <is>
          <t>Dartmouth</t>
        </is>
      </c>
      <c r="C11" s="12" t="n">
        <v>84200</v>
      </c>
      <c r="D11" s="8" t="n">
        <v>501</v>
      </c>
      <c r="E11" s="20" t="inlineStr">
        <is>
          <t>IN - Reach</t>
        </is>
      </c>
      <c r="F11" s="13" t="inlineStr">
        <is>
          <t>-</t>
        </is>
      </c>
      <c r="G11" s="13" t="inlineStr">
        <is>
          <t>501 funded internationals, the largest cohort on this list. Need-blind for int'l, no loans, Thayer ABET engineering, and a 165,000 sq ft engineering building. The school your criteria literally describe.</t>
        </is>
      </c>
    </row>
    <row r="12" ht="62" customHeight="1">
      <c r="A12" s="8" t="n">
        <v>11</v>
      </c>
      <c r="B12" s="9" t="inlineStr">
        <is>
          <t>Yale</t>
        </is>
      </c>
      <c r="C12" s="12" t="n">
        <v>83900</v>
      </c>
      <c r="D12" s="8" t="n">
        <v>489</v>
      </c>
      <c r="E12" s="18" t="inlineStr">
        <is>
          <t>IN - your SCEA</t>
        </is>
      </c>
      <c r="F12" s="13" t="inlineStr">
        <is>
          <t>-</t>
        </is>
      </c>
      <c r="G12" s="13" t="inlineStr">
        <is>
          <t>489 funded internationals at $83.9k average, need-blind, no loans, $0 contribution under $100k, full tuition to ~$200k. Now listed on the main sheet in Princeton's place, at your request. The Wu Tsai Institute runs a summer undergraduate research fellowship - a direct neurotech route in year one.</t>
        </is>
      </c>
    </row>
    <row r="13" ht="62" customHeight="1">
      <c r="A13" s="8" t="n">
        <v>12</v>
      </c>
      <c r="B13" s="9" t="inlineStr">
        <is>
          <t>Smith</t>
        </is>
      </c>
      <c r="C13" s="12" t="n">
        <v>83300</v>
      </c>
      <c r="D13" s="8" t="n">
        <v>164</v>
      </c>
      <c r="E13" s="10" t="inlineStr">
        <is>
          <t>OUT</t>
        </is>
      </c>
      <c r="F13" s="13" t="inlineStr">
        <is>
          <t>Not eligible</t>
        </is>
      </c>
      <c r="G13" s="13" t="inlineStr">
        <is>
          <t>Women's college. Noted because it would otherwise be the single best target on this list: ABET engineering, neuroscience, 164 funded, ~23% admit.</t>
        </is>
      </c>
    </row>
    <row r="14" ht="62" customHeight="1">
      <c r="A14" s="8" t="n">
        <v>13</v>
      </c>
      <c r="B14" s="9" t="inlineStr">
        <is>
          <t>Caltech</t>
        </is>
      </c>
      <c r="C14" s="12" t="n">
        <v>82700</v>
      </c>
      <c r="D14" s="8" t="n">
        <v>63</v>
      </c>
      <c r="E14" s="10" t="inlineStr">
        <is>
          <t>OUT</t>
        </is>
      </c>
      <c r="F14" s="13" t="inlineStr">
        <is>
          <t>Odds + pool</t>
        </is>
      </c>
      <c r="G14" s="13" t="inlineStr">
        <is>
          <t>Elite EE and neuroscience with superb facilities, but ~3% admit and only 63 funded internationals. Same risk profile as the MIT you excluded. Lottery ticket only.</t>
        </is>
      </c>
    </row>
    <row r="15" ht="62" customHeight="1">
      <c r="A15" s="8" t="n">
        <v>14</v>
      </c>
      <c r="B15" s="9" t="inlineStr">
        <is>
          <t>Amherst</t>
        </is>
      </c>
      <c r="C15" s="12" t="n">
        <v>82600</v>
      </c>
      <c r="D15" s="8" t="n">
        <v>212</v>
      </c>
      <c r="E15" s="20" t="inlineStr">
        <is>
          <t>IN - Reach</t>
        </is>
      </c>
      <c r="F15" s="13" t="inlineStr">
        <is>
          <t>-</t>
        </is>
      </c>
      <c r="G15" s="13" t="inlineStr">
        <is>
          <t>Need-blind for int'l, no loans, 212 funded at a 1,900-student college - proportionally the most generous school here. College Machine Shop plus UMass M5 ECE makerspace via Five College. Kept despite having no engineering degree, because you asked.</t>
        </is>
      </c>
    </row>
    <row r="16" ht="62" customHeight="1">
      <c r="A16" s="8" t="n">
        <v>15</v>
      </c>
      <c r="B16" s="9" t="inlineStr">
        <is>
          <t>Providence College</t>
        </is>
      </c>
      <c r="C16" s="12" t="n">
        <v>82400</v>
      </c>
      <c r="D16" s="8" t="n">
        <v>68</v>
      </c>
      <c r="E16" s="10" t="inlineStr">
        <is>
          <t>OUT</t>
        </is>
      </c>
      <c r="F16" s="13" t="inlineStr">
        <is>
          <t>Wrong profile</t>
        </is>
      </c>
      <c r="G16" s="13" t="inlineStr">
        <is>
          <t>Regional university with limited research funding. Fails your research-funding priority outright.</t>
        </is>
      </c>
    </row>
    <row r="17" ht="62" customHeight="1">
      <c r="A17" s="8" t="n">
        <v>16</v>
      </c>
      <c r="B17" s="9" t="inlineStr">
        <is>
          <t>Brown</t>
        </is>
      </c>
      <c r="C17" s="12" t="n">
        <v>82300</v>
      </c>
      <c r="D17" s="8" t="n">
        <v>310</v>
      </c>
      <c r="E17" s="20" t="inlineStr">
        <is>
          <t>IN - Reach</t>
        </is>
      </c>
      <c r="F17" s="13" t="inlineStr">
        <is>
          <t>-</t>
        </is>
      </c>
      <c r="G17" s="13" t="inlineStr">
        <is>
          <t>RESTORED at your request. Need-blind for int'l, no loans, 310 funded, ABET engineering, and the Carney Institute runs BrainGate - the flagship implanted brain-computer interface programme. Best neurotech school on your list.</t>
        </is>
      </c>
    </row>
    <row r="18" ht="62" customHeight="1">
      <c r="A18" s="8" t="n">
        <v>17</v>
      </c>
      <c r="B18" s="9" t="inlineStr">
        <is>
          <t>Swarthmore</t>
        </is>
      </c>
      <c r="C18" s="12" t="n">
        <v>81200</v>
      </c>
      <c r="D18" s="8" t="n">
        <v>70</v>
      </c>
      <c r="E18" s="20" t="inlineStr">
        <is>
          <t>IN - Hard target</t>
        </is>
      </c>
      <c r="F18" s="13" t="inlineStr">
        <is>
          <t>-</t>
        </is>
      </c>
      <c r="G18" s="13" t="inlineStr">
        <is>
          <t>The only true liberal arts college in the US with an ABET engineering degree AND a real makerspace (waterjet, laser, 3D printers, full wood shop). States loan-free aid for internationals explicitly. Only 70 funded, so the pool is small.</t>
        </is>
      </c>
    </row>
    <row r="19" ht="62" customHeight="1">
      <c r="A19" s="8" t="n">
        <v>18</v>
      </c>
      <c r="B19" s="9" t="inlineStr">
        <is>
          <t>Colby</t>
        </is>
      </c>
      <c r="C19" s="12" t="n">
        <v>80900</v>
      </c>
      <c r="D19" s="8" t="n">
        <v>205</v>
      </c>
      <c r="E19" s="10" t="inlineStr">
        <is>
          <t>OUT</t>
        </is>
      </c>
      <c r="F19" s="13" t="inlineStr">
        <is>
          <t>No engineering</t>
        </is>
      </c>
      <c r="G19" s="13" t="inlineStr">
        <is>
          <t>Genuinely strong: Colby Commitment covers internationals with no loans, 205 funded, $0 contribution under $75k. Excluded only because there is no engineering degree and no significant fab shop. First school back on the list if you drop EE.</t>
        </is>
      </c>
    </row>
    <row r="20" ht="62" customHeight="1">
      <c r="A20" s="8" t="n">
        <v>19</v>
      </c>
      <c r="B20" s="9" t="inlineStr">
        <is>
          <t>Colgate</t>
        </is>
      </c>
      <c r="C20" s="12" t="n">
        <v>80300</v>
      </c>
      <c r="D20" s="8" t="n">
        <v>122</v>
      </c>
      <c r="E20" s="10" t="inlineStr">
        <is>
          <t>OUT</t>
        </is>
      </c>
      <c r="F20" s="13" t="inlineStr">
        <is>
          <t>No engineering</t>
        </is>
      </c>
      <c r="G20" s="13" t="inlineStr">
        <is>
          <t>Was on your list until the makerspace filter. Has never packaged loans for internationals and meets 100% of their need - the cleanest int'l wording anywhere at ~12% admit. But no engineering and no fabrication facility.</t>
        </is>
      </c>
    </row>
    <row r="21" ht="62" customHeight="1">
      <c r="A21" s="8" t="n">
        <v>20</v>
      </c>
      <c r="B21" s="9" t="inlineStr">
        <is>
          <t>Tufts</t>
        </is>
      </c>
      <c r="C21" s="12" t="n">
        <v>80100</v>
      </c>
      <c r="D21" s="8" t="n">
        <v>231</v>
      </c>
      <c r="E21" s="20" t="inlineStr">
        <is>
          <t>IN - Hard target</t>
        </is>
      </c>
      <c r="F21" s="13" t="inlineStr">
        <is>
          <t>-</t>
        </is>
      </c>
      <c r="G21" s="13" t="inlineStr">
        <is>
          <t>231 funded internationals, full need met regardless of citizenship, ECE, and the Nolop FAST Facility - explicitly open to all students, no experience required. Best fit for a neuroscience major who builds hardware.</t>
        </is>
      </c>
    </row>
    <row r="23">
      <c r="B23" s="21" t="inlineStr">
        <is>
          <t>SCORECARD</t>
        </is>
      </c>
    </row>
    <row r="24">
      <c r="B24" s="25" t="inlineStr">
        <is>
          <t>Included from this list</t>
        </is>
      </c>
      <c r="C24" s="23" t="n">
        <v>8</v>
      </c>
    </row>
    <row r="25">
      <c r="B25" s="22" t="inlineStr">
        <is>
          <t>...of which Yale is your SCEA</t>
        </is>
      </c>
      <c r="C25" s="23" t="n">
        <v>1</v>
      </c>
    </row>
    <row r="26">
      <c r="B26" s="25" t="inlineStr">
        <is>
          <t>Excluded</t>
        </is>
      </c>
      <c r="C26" s="23" t="n">
        <v>12</v>
      </c>
    </row>
    <row r="27">
      <c r="B27" s="22" t="inlineStr">
        <is>
          <t>...because no engineering / fab facility</t>
        </is>
      </c>
      <c r="C27" s="23" t="n">
        <v>5</v>
      </c>
    </row>
    <row r="28">
      <c r="B28" s="22" t="inlineStr">
        <is>
          <t>...not eligible (women's colleges)</t>
        </is>
      </c>
      <c r="C28" s="23" t="n">
        <v>2</v>
      </c>
    </row>
    <row r="29">
      <c r="B29" s="22" t="inlineStr">
        <is>
          <t>...your own exclusion (Stanford)</t>
        </is>
      </c>
      <c r="C29" s="23" t="n">
        <v>1</v>
      </c>
    </row>
    <row r="30">
      <c r="B30" s="22" t="inlineStr">
        <is>
          <t>...fails your no-loan rule (Cornell)</t>
        </is>
      </c>
      <c r="C30" s="23" t="n">
        <v>1</v>
      </c>
    </row>
    <row r="31">
      <c r="B31" s="22" t="inlineStr">
        <is>
          <t>...pool or odds too thin (Vassar, Caltech)</t>
        </is>
      </c>
      <c r="C31" s="23" t="n">
        <v>2</v>
      </c>
    </row>
    <row r="32">
      <c r="B32" s="22" t="inlineStr">
        <is>
          <t>...wrong profile (Providence)</t>
        </is>
      </c>
      <c r="C32" s="23" t="n">
        <v>1</v>
      </c>
    </row>
    <row r="33">
      <c r="B33" s="25" t="inlineStr">
        <is>
          <t>Schools on your list NOT on this ranking</t>
        </is>
      </c>
      <c r="C33" s="23" t="n">
        <v>9</v>
      </c>
    </row>
    <row r="35">
      <c r="B35" s="27" t="inlineStr">
        <is>
          <t>Nine of your schools are absent from this ranking: Rice, Vanderbilt, Northwestern, Penn, Notre Dame, Johns Hopkins, WashU, Washington &amp; Lee, Lafayette and Union. That is not a strike against them. The ranking sorts by AVERAGE DOLLARS PER FUNDED STUDENT, which rewards high sticker prices and small funded cohorts - Haverford ($87,500) outranks Brown ($82,300) while funding 56 internationals to Brown's 310. Princeton, Notre Dame, Rice and WashU all publish guarantees at least as strong as most schools that did place.</t>
        </is>
      </c>
    </row>
  </sheetData>
  <autoFilter ref="A1:G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18" customWidth="1" min="2" max="2"/>
    <col width="54" customWidth="1" min="3" max="3"/>
    <col width="66" customWidth="1" min="4" max="4"/>
    <col width="44" customWidth="1" min="5" max="5"/>
    <col width="78" customWidth="1" min="6" max="6"/>
  </cols>
  <sheetData>
    <row r="1" ht="40" customHeight="1">
      <c r="A1" s="1" t="inlineStr">
        <is>
          <t>Rank</t>
        </is>
      </c>
      <c r="B1" s="1" t="inlineStr">
        <is>
          <t>School</t>
        </is>
      </c>
      <c r="C1" s="1" t="inlineStr">
        <is>
          <t>Making facility</t>
        </is>
      </c>
      <c r="D1" s="1" t="inlineStr">
        <is>
          <t>Neurotech centre</t>
        </is>
      </c>
      <c r="E1" s="1" t="inlineStr">
        <is>
          <t>Undergrad route in</t>
        </is>
      </c>
      <c r="F1" s="1" t="inlineStr">
        <is>
          <t>Verdict</t>
        </is>
      </c>
    </row>
    <row r="2" ht="72" customHeight="1">
      <c r="A2" s="8" t="n">
        <v>1</v>
      </c>
      <c r="B2" s="9" t="inlineStr">
        <is>
          <t>Rice</t>
        </is>
      </c>
      <c r="C2" s="13" t="inlineStr">
        <is>
          <t>Oshman Engineering Design Kitchen - 20,000 sq ft RESERVED for undergraduates, machine shop, FabShops</t>
        </is>
      </c>
      <c r="D2" s="6" t="inlineStr">
        <is>
          <t>Rice Neuroengineering Initiative (2018): bioengineers, mechanical, materials and electrical/computer engineers with clinicians, building tech to restore and extend brain function</t>
        </is>
      </c>
      <c r="E2" s="13" t="inlineStr">
        <is>
          <t>Undergrads are invited to contact NEI labs directly for rotations</t>
        </is>
      </c>
      <c r="F2" s="13" t="inlineStr">
        <is>
          <t>THE pick if neurotech is the goal. An undergraduate-only 20,000 sq ft shop plus a neuroengineering institute that takes undergrads, and 100% of need met with no loans.</t>
        </is>
      </c>
    </row>
    <row r="3" ht="72" customHeight="1">
      <c r="A3" s="8" t="n">
        <v>2</v>
      </c>
      <c r="B3" s="9" t="inlineStr">
        <is>
          <t>Brown</t>
        </is>
      </c>
      <c r="C3" s="13" t="inlineStr">
        <is>
          <t>Brown Design Workshop, student-run makerspace in the engineering complex (not independently verified)</t>
        </is>
      </c>
      <c r="D3" s="6" t="inlineStr">
        <is>
          <t>Carney Institute for Brain Science - home of BrainGate, the implanted brain-computer interface that has restored communication and control to people with spinal cord injury, brainstem stroke and ALS</t>
        </is>
      </c>
      <c r="E3" s="13" t="inlineStr">
        <is>
          <t>Open Curriculum means no distribution requirements blocking you out of engineering courses</t>
        </is>
      </c>
      <c r="F3" s="13" t="inlineStr">
        <is>
          <t>RESTORED. BrainGate is the flagship BCI programme in the world and it lives here. Need-blind for internationals, no loans, 310 funded. The best neurotech school on your list.</t>
        </is>
      </c>
    </row>
    <row r="4" ht="72" customHeight="1">
      <c r="A4" s="8" t="n">
        <v>3</v>
      </c>
      <c r="B4" s="9" t="inlineStr">
        <is>
          <t>Johns Hopkins</t>
        </is>
      </c>
      <c r="C4" s="13" t="inlineStr">
        <is>
          <t>WSE design and machine shops (not independently verified)</t>
        </is>
      </c>
      <c r="D4" s="6" t="inlineStr">
        <is>
          <t>Kavli Neuroscience Discovery Institute ($10m Kavli + $10m match), Neuroengineering &amp; Biomedical Instrumentation Lab, APL brain-computer interface programme</t>
        </is>
      </c>
      <c r="E4" s="13" t="inlineStr">
        <is>
          <t>Large BME/ECE undergrad research culture</t>
        </is>
      </c>
      <c r="F4" s="13" t="inlineStr">
        <is>
          <t>Deepest neurotech bench anywhere on this list, plus explicit 100%-of-need-no-loans for internationals. Culture is research-first, not liberal arts.</t>
        </is>
      </c>
    </row>
    <row r="5" ht="72" customHeight="1">
      <c r="A5" s="8" t="n">
        <v>4</v>
      </c>
      <c r="B5" s="9" t="inlineStr">
        <is>
          <t>Northwestern</t>
        </is>
      </c>
      <c r="C5" s="13" t="inlineStr">
        <is>
          <t>The Garage + Segal Design Institute (not independently verified)</t>
        </is>
      </c>
      <c r="D5" s="6" t="inlineStr">
        <is>
          <t>Shirley Ryan AbilityLab - Center for Bionic Medicine and the Neural Engineering for Prosthetics &amp; Orthotics lab</t>
        </is>
      </c>
      <c r="E5" s="13" t="inlineStr">
        <is>
          <t>Affiliated labs take undergraduate researchers</t>
        </is>
      </c>
      <c r="F5" s="13" t="inlineStr">
        <is>
          <t>NEW. World-leading neuroprosthetics, and the only school here whose aid is loan-free AND work-free for internationals.</t>
        </is>
      </c>
    </row>
    <row r="6" ht="72" customHeight="1">
      <c r="A6" s="8" t="n">
        <v>5</v>
      </c>
      <c r="B6" s="9" t="inlineStr">
        <is>
          <t>Vanderbilt</t>
        </is>
      </c>
      <c r="C6" s="13" t="inlineStr">
        <is>
          <t>The Wond'ry - 13,000 sq ft, four makerspaces including a dedicated ELECTRICAL MAKERSPACE</t>
        </is>
      </c>
      <c r="D6" s="6" t="inlineStr">
        <is>
          <t>Vanderbilt Brain Institute + Neural Engineering track within Biomedical Engineering</t>
        </is>
      </c>
      <c r="E6" s="13" t="inlineStr">
        <is>
          <t>Wond'ry is open to all students, all schools</t>
        </is>
      </c>
      <c r="F6" s="13" t="inlineStr">
        <is>
          <t>Best physical adjacency of electronics bench to brain research. ~6% admit is the problem, not the facilities.</t>
        </is>
      </c>
    </row>
    <row r="7" ht="72" customHeight="1">
      <c r="A7" s="2" t="n">
        <v>6</v>
      </c>
      <c r="B7" s="3" t="inlineStr">
        <is>
          <t>Yale</t>
        </is>
      </c>
      <c r="C7" s="6" t="inlineStr">
        <is>
          <t>Center for Engineering Innovation &amp; Design (CEID) - open-access design studio</t>
        </is>
      </c>
      <c r="D7" s="6" t="inlineStr">
        <is>
          <t>Wu Tsai Institute - university-wide neuroscience initiative on human cognition</t>
        </is>
      </c>
      <c r="E7" s="6" t="inlineStr">
        <is>
          <t>DEDICATED SUMMER UNDERGRADUATE FELLOWSHIP with WTI faculty, open from first year</t>
        </is>
      </c>
      <c r="F7" s="6" t="inlineStr">
        <is>
          <t>Your SCEA. The undergraduate fellowship is a rare formal on-ramp - most schools make you cold-email labs.</t>
        </is>
      </c>
    </row>
    <row r="8" ht="72" customHeight="1">
      <c r="A8" s="8" t="n">
        <v>7</v>
      </c>
      <c r="B8" s="9" t="inlineStr">
        <is>
          <t>WashU</t>
        </is>
      </c>
      <c r="C8" s="13" t="inlineStr">
        <is>
          <t>McKelvey design labs + Sam Fox digital fabrication (not independently verified)</t>
        </is>
      </c>
      <c r="D8" s="6" t="inlineStr">
        <is>
          <t>McKelvey Neuroengineering programme, built with WashU Medicine across EE, BME, CS and neuroscience; strong BCI research</t>
        </is>
      </c>
      <c r="E8" s="13" t="inlineStr">
        <is>
          <t>Undergrad research through McKelvey</t>
        </is>
      </c>
      <c r="F8" s="13" t="inlineStr">
        <is>
          <t>Real neuroengineering at the softest admit rate of the elite research universities. Best ED II on odds.</t>
        </is>
      </c>
    </row>
    <row r="9" ht="72" customHeight="1">
      <c r="A9" s="8" t="n">
        <v>8</v>
      </c>
      <c r="B9" s="9" t="inlineStr">
        <is>
          <t>Duke</t>
        </is>
      </c>
      <c r="C9" s="13" t="inlineStr">
        <is>
          <t>The Foundry (student-run, 7,600 sq ft) + Innovation Co-Lab</t>
        </is>
      </c>
      <c r="D9" s="6" t="inlineStr">
        <is>
          <t>Duke Institute for Brain Sciences + top-ranked BME with neural engineering</t>
        </is>
      </c>
      <c r="E9" s="13" t="inlineStr">
        <is>
          <t>Strong undergrad research pipeline</t>
        </is>
      </c>
      <c r="F9" s="13" t="inlineStr">
        <is>
          <t>Excellent on every axis except admit odds.</t>
        </is>
      </c>
    </row>
    <row r="10" ht="72" customHeight="1">
      <c r="A10" s="8" t="n">
        <v>9</v>
      </c>
      <c r="B10" s="9" t="inlineStr">
        <is>
          <t>Dartmouth</t>
        </is>
      </c>
      <c r="C10" s="13" t="inlineStr">
        <is>
          <t>Class of 1982 Engineering &amp; CS Center - 165,000 sq ft, machine shop, makerspaces; DALI Lab</t>
        </is>
      </c>
      <c r="D10" s="15" t="inlineStr">
        <is>
          <t>No dedicated neurotech institute - Thayer bioengineering plus PBS neuroscience</t>
        </is>
      </c>
      <c r="E10" s="13" t="inlineStr">
        <is>
          <t>Thayer is undergrad-accessible</t>
        </is>
      </c>
      <c r="F10" s="13" t="inlineStr">
        <is>
          <t>Best aid-plus-liberal-arts combination on the list, weakest on neurotech specifically. Trade-off worth naming.</t>
        </is>
      </c>
    </row>
    <row r="11" ht="72" customHeight="1">
      <c r="A11" s="8" t="n">
        <v>10</v>
      </c>
      <c r="B11" s="9" t="inlineStr">
        <is>
          <t>Union College</t>
        </is>
      </c>
      <c r="C11" s="13" t="inlineStr">
        <is>
          <t>MakerWeb - FIVE makerspaces: CNC router, laser cutter, 3D printers and scanners, industrial machining, soldering stations, Arduino kits</t>
        </is>
      </c>
      <c r="D11" s="15" t="inlineStr">
        <is>
          <t>None - but EE, BME and neuroscience all exist in-house at undergraduate scale</t>
        </is>
      </c>
      <c r="E11" s="13" t="inlineStr">
        <is>
          <t>Everything is undergraduate; there are no PhD students competing for bench time</t>
        </is>
      </c>
      <c r="F11" s="13" t="inlineStr">
        <is>
          <t>No institute, but no competition either. Soldering benches and Arduino kits are exactly the kit for a self-directed neurotech project. ~44% admit.</t>
        </is>
      </c>
    </row>
    <row r="12" ht="72" customHeight="1">
      <c r="A12" s="8" t="n">
        <v>11</v>
      </c>
      <c r="B12" s="9" t="inlineStr">
        <is>
          <t>Tufts</t>
        </is>
      </c>
      <c r="C12" s="13" t="inlineStr">
        <is>
          <t>Nolop FAST Facility - open to ALL students, no experience required + Tufts Maker Network</t>
        </is>
      </c>
      <c r="D12" s="6" t="inlineStr">
        <is>
          <t>Neuroscience plus BME neural engineering research; no flagship institute</t>
        </is>
      </c>
      <c r="E12" s="13" t="inlineStr">
        <is>
          <t>Nolop is deliberately low-barrier</t>
        </is>
      </c>
      <c r="F12" s="13" t="inlineStr">
        <is>
          <t>Best fit for a neuroscience major who wants to build without an engineering degree gatekeeping the shop.</t>
        </is>
      </c>
    </row>
    <row r="13" ht="72" customHeight="1">
      <c r="A13" s="8" t="n">
        <v>12</v>
      </c>
      <c r="B13" s="9" t="inlineStr">
        <is>
          <t>Swarthmore</t>
        </is>
      </c>
      <c r="C13" s="13" t="inlineStr">
        <is>
          <t>MakerSpace, Whittier Hall - waterjet, laser cutter, 3D printers/scanner, full wood shop</t>
        </is>
      </c>
      <c r="D13" s="15" t="inlineStr">
        <is>
          <t>None</t>
        </is>
      </c>
      <c r="E13" s="13" t="inlineStr">
        <is>
          <t>Full ABET engineering department at LAC scale</t>
        </is>
      </c>
      <c r="F13" s="13" t="inlineStr">
        <is>
          <t>Superb shop, real engineering degree, no neurotech research to join. You would originate the projects.</t>
        </is>
      </c>
    </row>
    <row r="14" ht="72" customHeight="1">
      <c r="A14" s="8" t="n">
        <v>13</v>
      </c>
      <c r="B14" s="9" t="inlineStr">
        <is>
          <t>Washington &amp; Lee</t>
        </is>
      </c>
      <c r="C14" s="13" t="inlineStr">
        <is>
          <t>IQ Center Maker Lab (HHMI-funded) + Howe Hall electronics, data acquisition, optics and mechanics labs</t>
        </is>
      </c>
      <c r="D14" s="15" t="inlineStr">
        <is>
          <t>None</t>
        </is>
      </c>
      <c r="E14" s="13" t="inlineStr">
        <is>
          <t>Physics-Engineering department research</t>
        </is>
      </c>
      <c r="F14" s="13" t="inlineStr">
        <is>
          <t>Instrumentation is remarkable for 1,800 students. No neurotech programme, but it is your most attainable school with guaranteed aid.</t>
        </is>
      </c>
    </row>
    <row r="15" ht="72" customHeight="1">
      <c r="A15" s="8" t="n">
        <v>14</v>
      </c>
      <c r="B15" s="9" t="inlineStr">
        <is>
          <t>Lafayette</t>
        </is>
      </c>
      <c r="C15" s="13" t="inlineStr">
        <is>
          <t>Dyer Center Makerspace - 3D printers, laser engraver, vinyl cutter, hand tools. Craft/light-fab, no CNC listed</t>
        </is>
      </c>
      <c r="D15" s="15" t="inlineStr">
        <is>
          <t>None</t>
        </is>
      </c>
      <c r="E15" s="13" t="inlineStr">
        <is>
          <t>ABET ECE plus a neuroscience major</t>
        </is>
      </c>
      <c r="F15" s="13" t="inlineStr">
        <is>
          <t>Lightest making facility here, but real ABET electrical &amp; computer engineering at a 32% admit rate.</t>
        </is>
      </c>
    </row>
    <row r="16" ht="72" customHeight="1">
      <c r="A16" s="8" t="n">
        <v>15</v>
      </c>
      <c r="B16" s="9" t="inlineStr">
        <is>
          <t>Pomona</t>
        </is>
      </c>
      <c r="C16" s="13" t="inlineStr">
        <is>
          <t>Harvey Mudd Makerspace - 8,000 sq ft, student-run, explicitly open to ALL 7C students including Pomona; plus the Hive design-thinking space</t>
        </is>
      </c>
      <c r="D16" s="15" t="inlineStr">
        <is>
          <t>None - Harvey Mudd offers engineering coursework, not brain research</t>
        </is>
      </c>
      <c r="E16" s="13" t="inlineStr">
        <is>
          <t>Cross-registration across all five Claremont Colleges; Mudd is a short walk</t>
        </is>
      </c>
      <c r="F16" s="13" t="inlineStr">
        <is>
          <t>NEW. The best consortium making access of any LAC here - a real 8,000 sq ft student-run shop you can actually reach on foot. But no engineering degree, no neurotech, and need-AWARE admission.</t>
        </is>
      </c>
    </row>
    <row r="17" ht="72" customHeight="1">
      <c r="A17" s="8" t="n">
        <v>16</v>
      </c>
      <c r="B17" s="9" t="inlineStr">
        <is>
          <t>Amherst</t>
        </is>
      </c>
      <c r="C17" s="13" t="inlineStr">
        <is>
          <t>College Machine Shop - CNC, mills, lathes, grinders - plus UMass M5 ECE makerspace via Five College</t>
        </is>
      </c>
      <c r="D17" s="15" t="inlineStr">
        <is>
          <t>None, and no engineering degree</t>
        </is>
      </c>
      <c r="E17" s="13" t="inlineStr">
        <is>
          <t>Five College cross-registration</t>
        </is>
      </c>
      <c r="F17" s="13" t="inlineStr">
        <is>
          <t>Real tools, no engineering credential, no neurotech. On the list for the money and the need-blind guarantee only.</t>
        </is>
      </c>
    </row>
    <row r="19">
      <c r="B19" s="16" t="inlineStr">
        <is>
          <t>Ranked by neurotech opportunity for an UNDERGRADUATE who needs full aid - not by prestige. Six schools here have no neurotech centre at all; four of those are on the list purely because the money is guaranteed.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C47"/>
  <sheetViews>
    <sheetView workbookViewId="0">
      <selection activeCell="A1" sqref="A1"/>
    </sheetView>
  </sheetViews>
  <sheetFormatPr baseColWidth="8" defaultRowHeight="15"/>
  <cols>
    <col width="4" customWidth="1" min="1" max="1"/>
    <col width="34" customWidth="1" min="2" max="2"/>
    <col width="100" customWidth="1" min="3" max="3"/>
  </cols>
  <sheetData>
    <row r="1">
      <c r="B1" s="28" t="inlineStr">
        <is>
          <t>Application strategy - Class of 2031 (entry Fall 2027)</t>
        </is>
      </c>
    </row>
    <row r="3" ht="22" customHeight="1">
      <c r="B3" s="29" t="inlineStr">
        <is>
          <t>1. What changed in this version</t>
        </is>
      </c>
      <c r="C3" s="30" t="n"/>
    </row>
    <row r="4" ht="28" customHeight="1">
      <c r="B4" s="31" t="inlineStr">
        <is>
          <t>Princeton - removed</t>
        </is>
      </c>
      <c r="C4" s="32" t="inlineStr">
        <is>
          <t>Replaced by Yale on the main sheet, at your request. Yale is your SCEA and belongs on the list as an actual application.</t>
        </is>
      </c>
    </row>
    <row r="5" ht="15" customHeight="1">
      <c r="B5" s="31" t="inlineStr">
        <is>
          <t>Illinois Tech - removed</t>
        </is>
      </c>
      <c r="C5" s="32" t="inlineStr">
        <is>
          <t>You cut the safeties. Understood, but read section 4 before you finalise.</t>
        </is>
      </c>
    </row>
    <row r="6" ht="42" customHeight="1">
      <c r="B6" s="31" t="inlineStr">
        <is>
          <t>Northwestern - ADDED</t>
        </is>
      </c>
      <c r="C6" s="32" t="inlineStr">
        <is>
          <t>Neurotech: Shirley Ryan AbilityLab, home to the Center for Bionic Medicine and the Neural Engineering for Prosthetics &amp; Orthotics lab. Aid: meets 100% of int'l need with LOAN-FREE AND WORK-FREE packages - the strongest wording of any need-aware school on this list.</t>
        </is>
      </c>
    </row>
    <row r="7" ht="42" customHeight="1">
      <c r="B7" s="31" t="inlineStr">
        <is>
          <t>Brown - RESTORED</t>
        </is>
      </c>
      <c r="C7" s="33" t="inlineStr">
        <is>
          <t>Back at your request, and it should be. The Carney Institute for Brain Science runs BrainGate, the implanted brain-computer interface programme - the single most relevant research programme on your list. Need-blind for internationals, no loans, 310 funded, ABET engineering, Open Curriculum.</t>
        </is>
      </c>
    </row>
    <row r="8" ht="42" customHeight="1">
      <c r="B8" s="31" t="inlineStr">
        <is>
          <t>Pomona - ADDED for review</t>
        </is>
      </c>
      <c r="C8" s="32" t="inlineStr">
        <is>
          <t>Meets full need with no loans, and Claremont cross-registration gives you the Harvey Mudd Makerspace: 8,000 sq ft, student-run, open to all 7C students. But it duplicates Amherst's slot and is need-AWARE where Amherst is need-BLIND. See section 4.</t>
        </is>
      </c>
    </row>
    <row r="9" ht="42" customHeight="1">
      <c r="B9" s="31" t="inlineStr">
        <is>
          <t>Penn - CUT</t>
        </is>
      </c>
      <c r="C9" s="32" t="inlineStr">
        <is>
          <t>Removed at your request. It qualified on both counts: the Center for Neuroengineering and Therapeutics builds devices to restore nervous system function, and Penn meets 100% of int'l need with grants and work-study, over $10m a year. Nothing failed verification - you chose to drop it.</t>
        </is>
      </c>
    </row>
    <row r="11" ht="22" customHeight="1">
      <c r="B11" s="29" t="inlineStr">
        <is>
          <t>2. Yale is SCEA, not ED</t>
        </is>
      </c>
      <c r="C11" s="30" t="n"/>
    </row>
    <row r="12" ht="28" customHeight="1">
      <c r="B12" s="31" t="inlineStr">
        <is>
          <t>What it is</t>
        </is>
      </c>
      <c r="C12" s="33" t="inlineStr">
        <is>
          <t>Single-Choice Early Action - restrictive but NON-BINDING. If admitted you may still compare aid offers until May 1.</t>
        </is>
      </c>
    </row>
    <row r="13" ht="28" customHeight="1">
      <c r="B13" s="31" t="inlineStr">
        <is>
          <t>What you CANNOT do</t>
        </is>
      </c>
      <c r="C13" s="32" t="inlineStr">
        <is>
          <t>Apply ED I anywhere. Apply EA or REA to any other private US college whose decision lands on or before Jan 1.</t>
        </is>
      </c>
    </row>
    <row r="14" ht="28" customHeight="1">
      <c r="B14" s="31" t="inlineStr">
        <is>
          <t>What you CAN do</t>
        </is>
      </c>
      <c r="C14" s="32" t="inlineStr">
        <is>
          <t>ED II anywhere. Non-binding rolling admission. EA at public universities. Any early programme outside the US.</t>
        </is>
      </c>
    </row>
    <row r="15" ht="28" customHeight="1">
      <c r="B15" s="31" t="inlineStr">
        <is>
          <t>Your Yale aid</t>
        </is>
      </c>
      <c r="C15" s="32" t="inlineStr">
        <is>
          <t>Need-blind for internationals, no loans, $0 parent contribution under $100k income, full tuition guaranteed to ~$200k. Funded 489 internationals at $83,900 average.</t>
        </is>
      </c>
    </row>
    <row r="16" ht="28" customHeight="1">
      <c r="B16" s="31" t="inlineStr">
        <is>
          <t>Neurotech at Yale</t>
        </is>
      </c>
      <c r="C16" s="32" t="inlineStr">
        <is>
          <t>The Wu Tsai Institute runs a dedicated summer undergraduate research fellowship with its faculty, open from first year. Most schools make you cold-email labs; this is a formal on-ramp.</t>
        </is>
      </c>
    </row>
    <row r="18" ht="22" customHeight="1">
      <c r="B18" s="29" t="inlineStr">
        <is>
          <t>3. ED II - pick exactly ONE, only if Yale defers or denies you</t>
        </is>
      </c>
      <c r="C18" s="30" t="n"/>
    </row>
    <row r="19" ht="42" customHeight="1">
      <c r="B19" s="31" t="inlineStr">
        <is>
          <t>Best on substance</t>
        </is>
      </c>
      <c r="C19" s="32" t="inlineStr">
        <is>
          <t>Johns Hopkins (Jan 2) - Kavli Neuroscience Discovery Institute, the Neuroengineering &amp; Biomedical Instrumentation Lab, and APL's brain-computer interface work. Explicitly meets 100% of int'l need without loans in ED II.</t>
        </is>
      </c>
    </row>
    <row r="20" ht="28" customHeight="1">
      <c r="B20" s="31" t="inlineStr">
        <is>
          <t>Best on odds</t>
        </is>
      </c>
      <c r="C20" s="32" t="inlineStr">
        <is>
          <t>WashU (Jan 2, ~12%) - real neuroengineering built with WashU Medicine, institution-wide no-loan policy, softest admit rate in this tier.</t>
        </is>
      </c>
    </row>
    <row r="21" ht="28" customHeight="1">
      <c r="B21" s="31" t="inlineStr">
        <is>
          <t>Best on aid certainty</t>
        </is>
      </c>
      <c r="C21" s="32" t="inlineStr">
        <is>
          <t>Washington &amp; Lee (Jan 1, ~17%) - need-blind for internationals, no tuition under $150k. No neurotech programme, and engineering is a physics-engineering major rather than ABET.</t>
        </is>
      </c>
    </row>
    <row r="22" ht="28" customHeight="1">
      <c r="B22" s="31" t="inlineStr">
        <is>
          <t>Avoid for ED II</t>
        </is>
      </c>
      <c r="C22" s="33" t="inlineStr">
        <is>
          <t>Vanderbilt. Superb facilities, but ~6% for the Class of 2030 and need-aware with a small international pool. A binding round is too expensive to spend there.</t>
        </is>
      </c>
    </row>
    <row r="23" ht="15" customHeight="1">
      <c r="B23" s="31" t="inlineStr">
        <is>
          <t>Binding warning</t>
        </is>
      </c>
      <c r="C23" s="33" t="inlineStr">
        <is>
          <t>ED II is BINDING. Do not use it anywhere whose net price calculator leaves a gap you cannot cover.</t>
        </is>
      </c>
    </row>
    <row r="25" ht="22" customHeight="1">
      <c r="B25" s="29" t="inlineStr">
        <is>
          <t>4. The risk you have just taken on</t>
        </is>
      </c>
      <c r="C25" s="30" t="n"/>
    </row>
    <row r="26" ht="42" customHeight="1">
      <c r="B26" s="31" t="inlineStr">
        <is>
          <t>The shape of the list</t>
        </is>
      </c>
      <c r="C26" s="34" t="inlineStr">
        <is>
          <t>Thirteen of your sixteen schools sit at or below a 12% admit rate, and ten are Reaches at 8% or below. International admit rates run lower again at every one, and lower still for applicants requesting full aid at the need-aware schools.</t>
        </is>
      </c>
    </row>
    <row r="27" ht="28" customHeight="1">
      <c r="B27" s="31" t="inlineStr">
        <is>
          <t>Your entire floor</t>
        </is>
      </c>
      <c r="C27" s="34" t="inlineStr">
        <is>
          <t>Washington &amp; Lee (17%), Lafayette (32%) and Union (44%). That is it. And Union does not guarantee to meet full need for internationals, so even an admit there may not be affordable.</t>
        </is>
      </c>
    </row>
    <row r="28" ht="42" customHeight="1">
      <c r="B28" s="31" t="inlineStr">
        <is>
          <t>What this means</t>
        </is>
      </c>
      <c r="C28" s="35" t="inlineStr">
        <is>
          <t>If W&amp;L, Lafayette and Union all come back negative or unaffordable, this list has no fallback. That is a legitimate choice if you have a funded option at home - but it should be a choice you made deliberately, not one you drift into.</t>
        </is>
      </c>
    </row>
    <row r="29" ht="70" customHeight="1">
      <c r="B29" s="31" t="inlineStr">
        <is>
          <t>Amherst vs Pomona - pick one</t>
        </is>
      </c>
      <c r="C29" s="33" t="inlineStr">
        <is>
          <t>They occupy the same slot: elite LAC, no engineering degree, consortium access, no neurotech. AMHERST is need-BLIND for internationals and funded 212 - the safer money. POMONA is need-aware and funded 98, but Claremont cross-registration puts an 8,000 sq ft student-run makerspace at Harvey Mudd within walking distance, which beats Amherst's Five College arrangement. Applying to both is defensible only if you have applications to spare.</t>
        </is>
      </c>
    </row>
    <row r="30" ht="56" customHeight="1">
      <c r="B30" s="31" t="inlineStr">
        <is>
          <t>Cheapest insurance</t>
        </is>
      </c>
      <c r="C30" s="32" t="inlineStr">
        <is>
          <t>Case Western. ~30% admit, automatic merit consideration with no extra form, and think[box] is a seven-storey 50,000 sq ft open-access makerspace with the Functional Electrical Stimulation research tradition behind it. Merit-only aid, so it will not be free - but it costs you almost nothing to apply.</t>
        </is>
      </c>
    </row>
    <row r="32" ht="22" customHeight="1">
      <c r="B32" s="29" t="inlineStr">
        <is>
          <t>5. Before you submit anything</t>
        </is>
      </c>
      <c r="C32" s="30" t="n"/>
    </row>
    <row r="33" ht="28" customHeight="1">
      <c r="B33" s="31" t="inlineStr">
        <is>
          <t>Run every NPC</t>
        </is>
      </c>
      <c r="C33" s="32" t="inlineStr">
        <is>
          <t>Run each school's Net Price Calculator with real family numbers. Where no international version exists, email the aid office and keep the written reply.</t>
        </is>
      </c>
    </row>
    <row r="34" ht="15" customHeight="1">
      <c r="B34" s="31" t="inlineStr">
        <is>
          <t>CSS Profile</t>
        </is>
      </c>
      <c r="C34" s="32" t="inlineStr">
        <is>
          <t>Opens October 1, 2026. Required by every school now on this list. Fee waivers exist - ask.</t>
        </is>
      </c>
    </row>
    <row r="35" ht="28" customHeight="1">
      <c r="B35" s="31" t="inlineStr">
        <is>
          <t>Ask for aid in year one</t>
        </is>
      </c>
      <c r="C35" s="32" t="inlineStr">
        <is>
          <t>Lafayette and others never grant institutional aid to an international who did not request it as a first-year. Always tick the aid box.</t>
        </is>
      </c>
    </row>
    <row r="36" ht="28" customHeight="1">
      <c r="B36" s="31" t="inlineStr">
        <is>
          <t>Email the labs, not just admissions</t>
        </is>
      </c>
      <c r="C36" s="32" t="inlineStr">
        <is>
          <t>For Rice NEI, Northwestern's AbilityLab affiliates and Penn's CNT, ask directly whether undergraduates - and international undergraduates specifically - join projects, and in which year.</t>
        </is>
      </c>
    </row>
    <row r="37" ht="15" customHeight="1">
      <c r="B37" s="31" t="inlineStr">
        <is>
          <t>Home-country backup</t>
        </is>
      </c>
      <c r="C37" s="34" t="inlineStr">
        <is>
          <t>With safeties cut this is no longer optional. Keep at least one funded option at home.</t>
        </is>
      </c>
    </row>
    <row r="39" ht="22" customHeight="1">
      <c r="B39" s="29" t="inlineStr">
        <is>
          <t>6. Key dates</t>
        </is>
      </c>
      <c r="C39" s="30" t="n"/>
    </row>
    <row r="40" ht="15" customHeight="1">
      <c r="B40" s="31" t="inlineStr">
        <is>
          <t>Oct 1, 2026</t>
        </is>
      </c>
      <c r="C40" s="32" t="inlineStr">
        <is>
          <t>CSS Profile opens</t>
        </is>
      </c>
    </row>
    <row r="41" ht="15" customHeight="1">
      <c r="B41" s="31" t="inlineStr">
        <is>
          <t>Nov 1, 2026</t>
        </is>
      </c>
      <c r="C41" s="32" t="inlineStr">
        <is>
          <t>Yale SCEA deadline</t>
        </is>
      </c>
    </row>
    <row r="42" ht="15" customHeight="1">
      <c r="B42" s="31" t="inlineStr">
        <is>
          <t>Mid-Dec 2026</t>
        </is>
      </c>
      <c r="C42" s="32" t="inlineStr">
        <is>
          <t>Yale SCEA decision</t>
        </is>
      </c>
    </row>
    <row r="43" ht="15" customHeight="1">
      <c r="B43" s="31" t="inlineStr">
        <is>
          <t>Jan 1-5, 2027</t>
        </is>
      </c>
      <c r="C43" s="32" t="inlineStr">
        <is>
          <t>ED II deadlines AND most RD deadlines fall in the same week</t>
        </is>
      </c>
    </row>
    <row r="44" ht="15" customHeight="1">
      <c r="B44" s="31" t="inlineStr">
        <is>
          <t>Jan 15, 2027</t>
        </is>
      </c>
      <c r="C44" s="32" t="inlineStr">
        <is>
          <t>Lafayette / Union RD</t>
        </is>
      </c>
    </row>
    <row r="45" ht="15" customHeight="1">
      <c r="B45" s="31" t="inlineStr">
        <is>
          <t>Feb 2027</t>
        </is>
      </c>
      <c r="C45" s="32" t="inlineStr">
        <is>
          <t>ED II decisions</t>
        </is>
      </c>
    </row>
    <row r="46" ht="15" customHeight="1">
      <c r="B46" s="31" t="inlineStr">
        <is>
          <t>Mar-Apr 2027</t>
        </is>
      </c>
      <c r="C46" s="32" t="inlineStr">
        <is>
          <t>RD decisions and aid packages</t>
        </is>
      </c>
    </row>
    <row r="47" ht="15" customHeight="1">
      <c r="B47" s="31" t="inlineStr">
        <is>
          <t>May 1, 2027</t>
        </is>
      </c>
      <c r="C47" s="32" t="inlineStr">
        <is>
          <t>Universal reply date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92" customWidth="1" min="3" max="3"/>
    <col width="56" customWidth="1" min="4" max="4"/>
  </cols>
  <sheetData>
    <row r="1">
      <c r="A1" s="1" t="inlineStr">
        <is>
          <t>School</t>
        </is>
      </c>
      <c r="B1" s="1" t="inlineStr">
        <is>
          <t>Verdict</t>
        </is>
      </c>
      <c r="C1" s="1" t="inlineStr">
        <is>
          <t>Reason</t>
        </is>
      </c>
      <c r="D1" s="1" t="inlineStr">
        <is>
          <t>Would reconsider if</t>
        </is>
      </c>
    </row>
    <row r="2" ht="86" customHeight="1">
      <c r="A2" s="36" t="inlineStr">
        <is>
          <t>Princeton</t>
        </is>
      </c>
      <c r="B2" s="37" t="inlineStr">
        <is>
          <t>CUT (your call)</t>
        </is>
      </c>
      <c r="C2" s="38" t="inlineStr">
        <is>
          <t>Replaced by Yale at your request. For the record it had the strongest published guarantee anywhere: $0 parent contribution at $150k income, need-blind, no loans, same policy for internationals, and it adjusts the expected contribution for home-country cost of living.</t>
        </is>
      </c>
      <c r="D2" s="38" t="inlineStr">
        <is>
          <t>You want a second need-blind reach alongside Dartmouth. Nothing about it stopped qualifying.</t>
        </is>
      </c>
    </row>
    <row r="3" ht="86" customHeight="1">
      <c r="A3" s="36" t="inlineStr">
        <is>
          <t>Illinois Tech</t>
        </is>
      </c>
      <c r="B3" s="37" t="inlineStr">
        <is>
          <t>CUT (your call)</t>
        </is>
      </c>
      <c r="C3" s="38" t="inlineStr">
        <is>
          <t>You judged the safety not worth applying to. It was your only school above a 50% admit rate.</t>
        </is>
      </c>
      <c r="D3" s="38" t="inlineStr">
        <is>
          <t>You want any floor at all under this list. See the risk note on the Strategy tab.</t>
        </is>
      </c>
    </row>
    <row r="4" ht="86" customHeight="1">
      <c r="A4" s="36" t="inlineStr">
        <is>
          <t>Case Western</t>
        </is>
      </c>
      <c r="B4" s="39" t="inlineStr">
        <is>
          <t>STRONGEST RE-ADD</t>
        </is>
      </c>
      <c r="C4" s="38" t="inlineStr">
        <is>
          <t>Merit only for internationals (roughly $10k-$30k/yr, average merit award ~$32.5k), so it will not be free. But: ~30% admit, automatic merit consideration with no extra application, strong EE and neuroscience, a long Functional Electrical Stimulation research tradition, and think[box] - a seven-storey, 50,000 sq ft facility described as the largest open-access makerspace in the US.</t>
        </is>
      </c>
      <c r="D4" s="38" t="inlineStr">
        <is>
          <t>You want cheap insurance after cutting the safeties. On facilities alone it would rank near the top of your list.</t>
        </is>
      </c>
    </row>
    <row r="5" ht="86" customHeight="1">
      <c r="A5" s="36" t="inlineStr">
        <is>
          <t>Penn</t>
        </is>
      </c>
      <c r="B5" s="37" t="inlineStr">
        <is>
          <t>CUT (your call)</t>
        </is>
      </c>
      <c r="C5" s="38" t="inlineStr">
        <is>
          <t>Removed at your request. For the record it fully qualified: meets 100% of international need with grants and work-study, no loans, over $10 million a year to non-US/Canada/Mexico students, and the Center for Neuroengineering and Therapeutics is one of very few US centres named for neuroengineering.</t>
        </is>
      </c>
      <c r="D5" s="38" t="inlineStr">
        <is>
          <t>You want another elite neurotech reach. Nothing about it stopped qualifying.</t>
        </is>
      </c>
    </row>
    <row r="6" ht="86" customHeight="1">
      <c r="A6" s="36" t="inlineStr">
        <is>
          <t>Cornell</t>
        </is>
      </c>
      <c r="B6" s="37" t="inlineStr">
        <is>
          <t>CUT</t>
        </is>
      </c>
      <c r="C6" s="38" t="inlineStr">
        <is>
          <t>Meets 100% of int'l need with grants, work-study AND 'reasonable student loans' scaled to income. The only Ivy that fails your no-loan rule.</t>
        </is>
      </c>
      <c r="D6" s="38" t="inlineStr">
        <is>
          <t>You relax the no-loan rule. It funds 349 internationals at $84.4k average.</t>
        </is>
      </c>
    </row>
    <row r="7" ht="86" customHeight="1">
      <c r="A7" s="36" t="inlineStr">
        <is>
          <t>Georgia Tech</t>
        </is>
      </c>
      <c r="B7" s="37" t="inlineStr">
        <is>
          <t>CUT</t>
        </is>
      </c>
      <c r="C7" s="38" t="inlineStr">
        <is>
          <t>No institutional aid for internationals; its own international office directs students to private loans. Roughly $55k-$60k per year out of pocket.</t>
        </is>
      </c>
      <c r="D7" s="38" t="inlineStr">
        <is>
          <t>Your family can pay full out-of-state cost.</t>
        </is>
      </c>
    </row>
    <row r="8" ht="86" customHeight="1">
      <c r="A8" s="36" t="inlineStr">
        <is>
          <t>Georgetown</t>
        </is>
      </c>
      <c r="B8" s="37" t="inlineStr">
        <is>
          <t>CUT</t>
        </is>
      </c>
      <c r="C8" s="38" t="inlineStr">
        <is>
          <t>Need-blind, but Georgetown-funded aid 'is not typically offered to most international applicants'. No engineering school at all.</t>
        </is>
      </c>
      <c r="D8" s="38" t="inlineStr">
        <is>
          <t>Never, on your criteria.</t>
        </is>
      </c>
    </row>
    <row r="9" ht="86" customHeight="1">
      <c r="A9" s="36" t="inlineStr">
        <is>
          <t>Emory</t>
        </is>
      </c>
      <c r="B9" s="37" t="inlineStr">
        <is>
          <t>CUT</t>
        </is>
      </c>
      <c r="C9" s="38" t="inlineStr">
        <is>
          <t>No-loan guarantee and the $200k free-tuition threshold are DOMESTIC-only. No engineering degree.</t>
        </is>
      </c>
      <c r="D9" s="38" t="inlineStr">
        <is>
          <t>You would accept partial aid and drop engineering.</t>
        </is>
      </c>
    </row>
    <row r="10" ht="86" customHeight="1">
      <c r="A10" s="36" t="inlineStr">
        <is>
          <t>Colgate</t>
        </is>
      </c>
      <c r="B10" s="37" t="inlineStr">
        <is>
          <t>CUT</t>
        </is>
      </c>
      <c r="C10" s="38" t="inlineStr">
        <is>
          <t>Has never packaged loans for internationals and meets 100% of their need - excellent money - but no engineering and no significant fabrication facility.</t>
        </is>
      </c>
      <c r="D10" s="38" t="inlineStr">
        <is>
          <t>You drop the engineering-projects requirement.</t>
        </is>
      </c>
    </row>
    <row r="11" ht="86" customHeight="1">
      <c r="A11" s="36" t="inlineStr">
        <is>
          <t>Colby / Pomona / Williams / Wesleyan</t>
        </is>
      </c>
      <c r="B11" s="40" t="inlineStr">
        <is>
          <t>HOLD</t>
        </is>
      </c>
      <c r="C11" s="38" t="inlineStr">
        <is>
          <t>Strong international aid, several loan-free. None offers an engineering degree or a neurotech programme.</t>
        </is>
      </c>
      <c r="D11" s="38" t="inlineStr">
        <is>
          <t>You commit to pure neuroscience. Colby reopens first: no loans, internationals included, 205 funded.</t>
        </is>
      </c>
    </row>
    <row r="12" ht="86" customHeight="1">
      <c r="A12" s="36" t="inlineStr">
        <is>
          <t>Smith / Wellesley</t>
        </is>
      </c>
      <c r="B12" s="40" t="inlineStr">
        <is>
          <t>NOT ELIGIBLE</t>
        </is>
      </c>
      <c r="C12" s="38" t="inlineStr">
        <is>
          <t>Women's colleges.</t>
        </is>
      </c>
      <c r="D12" s="38"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60" customWidth="1" min="2" max="2"/>
    <col width="24" customWidth="1" min="3" max="3"/>
    <col width="86" customWidth="1" min="4" max="4"/>
    <col width="40" customWidth="1" min="5" max="5"/>
  </cols>
  <sheetData>
    <row r="1" ht="34" customHeight="1">
      <c r="A1" s="1" t="inlineStr">
        <is>
          <t>#</t>
        </is>
      </c>
      <c r="B1" s="1" t="inlineStr">
        <is>
          <t>Claim I made earlier</t>
        </is>
      </c>
      <c r="C1" s="1" t="inlineStr">
        <is>
          <t>Status</t>
        </is>
      </c>
      <c r="D1" s="1" t="inlineStr">
        <is>
          <t>Corrected to</t>
        </is>
      </c>
      <c r="E1" s="1" t="inlineStr">
        <is>
          <t>Source</t>
        </is>
      </c>
    </row>
    <row r="2" ht="58" customHeight="1">
      <c r="A2" s="8" t="n">
        <v>1</v>
      </c>
      <c r="B2" s="13" t="inlineStr">
        <is>
          <t>Swarthmore is the only true liberal arts college in the US with an ABET engineering degree and a real makerspace</t>
        </is>
      </c>
      <c r="C2" s="41" t="inlineStr">
        <is>
          <t>WRONG</t>
        </is>
      </c>
      <c r="D2" s="13" t="inlineStr">
        <is>
          <t>Union (7 ABET majors), Lafayette (ABET ECE), Bucknell, Trinity, Smith and Harvey Mudd all have ABET engineering. Two of them are on your own list, so this contradicted itself.</t>
        </is>
      </c>
      <c r="E2" s="13" t="inlineStr">
        <is>
          <t>College Kickstart; Union College engineering</t>
        </is>
      </c>
    </row>
    <row r="3" ht="58" customHeight="1">
      <c r="A3" s="8" t="n">
        <v>2</v>
      </c>
      <c r="B3" s="13" t="inlineStr">
        <is>
          <t>Vanderbilt is a Hard target at ~7%</t>
        </is>
      </c>
      <c r="C3" s="41" t="inlineStr">
        <is>
          <t>WRONG</t>
        </is>
      </c>
      <c r="D3" s="13" t="inlineStr">
        <is>
          <t>~6% for the Class of 2030, reported as among the lowest overall admit rates of any US university. Moved to Reach. This matters: I had recommended it as an ED II option.</t>
        </is>
      </c>
      <c r="E3" s="13" t="inlineStr">
        <is>
          <t>Class of 2030 admission results</t>
        </is>
      </c>
    </row>
    <row r="4" ht="58" customHeight="1">
      <c r="A4" s="8" t="n">
        <v>3</v>
      </c>
      <c r="B4" s="13" t="inlineStr">
        <is>
          <t>Duke's Foundry is 8,000 sq ft</t>
        </is>
      </c>
      <c r="C4" s="41" t="inlineStr">
        <is>
          <t>WRONG</t>
        </is>
      </c>
      <c r="D4" s="13" t="inlineStr">
        <is>
          <t>7,600 sq ft</t>
        </is>
      </c>
      <c r="E4" s="13" t="inlineStr">
        <is>
          <t>Tradeline (Foundry project report)</t>
        </is>
      </c>
    </row>
    <row r="5" ht="58" customHeight="1">
      <c r="A5" s="8" t="n">
        <v>4</v>
      </c>
      <c r="B5" s="13" t="inlineStr">
        <is>
          <t>Illinois Tech's Idea Shop is 8,000 sq ft</t>
        </is>
      </c>
      <c r="C5" s="42" t="inlineStr">
        <is>
          <t>UNVERIFIED</t>
        </is>
      </c>
      <c r="D5" s="13" t="inlineStr">
        <is>
          <t>No published footprint for the shop itself. It sits inside the 70,000 sq ft Ed Kaplan Family Institute. Figure removed.</t>
        </is>
      </c>
      <c r="E5" s="13" t="inlineStr">
        <is>
          <t>Illinois Tech catalog</t>
        </is>
      </c>
    </row>
    <row r="6" ht="58" customHeight="1">
      <c r="A6" s="8" t="n">
        <v>5</v>
      </c>
      <c r="B6" s="13" t="inlineStr">
        <is>
          <t>Illinois Tech admits ~60%</t>
        </is>
      </c>
      <c r="C6" s="41" t="inlineStr">
        <is>
          <t>WRONG</t>
        </is>
      </c>
      <c r="D6" s="13" t="inlineStr">
        <is>
          <t>~55%</t>
        </is>
      </c>
      <c r="E6" s="13" t="inlineStr">
        <is>
          <t>AcceptanceRate.com and others; sources range 55-66%</t>
        </is>
      </c>
    </row>
    <row r="7" ht="58" customHeight="1">
      <c r="A7" s="8" t="n">
        <v>6</v>
      </c>
      <c r="B7" s="13" t="inlineStr">
        <is>
          <t>Union College admits ~40%</t>
        </is>
      </c>
      <c r="C7" s="41" t="inlineStr">
        <is>
          <t>WRONG</t>
        </is>
      </c>
      <c r="D7" s="13" t="inlineStr">
        <is>
          <t>~44%</t>
        </is>
      </c>
      <c r="E7" s="13" t="inlineStr">
        <is>
          <t>Union admission statistics, 2025 cycle</t>
        </is>
      </c>
    </row>
    <row r="8" ht="58" customHeight="1">
      <c r="A8" s="8" t="n">
        <v>7</v>
      </c>
      <c r="B8" s="13" t="inlineStr">
        <is>
          <t>Lafayette admits ~30%</t>
        </is>
      </c>
      <c r="C8" s="42" t="inlineStr">
        <is>
          <t>CLOSE, corrected</t>
        </is>
      </c>
      <c r="D8" s="13" t="inlineStr">
        <is>
          <t>32.3% for the Class of 2030 (3,518 admitted of 10,901)</t>
        </is>
      </c>
      <c r="E8" s="13" t="inlineStr">
        <is>
          <t>The Lafayette (student newspaper)</t>
        </is>
      </c>
    </row>
    <row r="9" ht="58" customHeight="1">
      <c r="A9" s="8" t="n">
        <v>8</v>
      </c>
      <c r="B9" s="13" t="inlineStr">
        <is>
          <t>Johns Hopkins admits ~7%</t>
        </is>
      </c>
      <c r="C9" s="41" t="inlineStr">
        <is>
          <t>WRONG</t>
        </is>
      </c>
      <c r="D9" s="13" t="inlineStr">
        <is>
          <t>~8%</t>
        </is>
      </c>
      <c r="E9" s="13" t="inlineStr">
        <is>
          <t>Class of 2030 admission results</t>
        </is>
      </c>
    </row>
    <row r="10" ht="58" customHeight="1">
      <c r="A10" s="8" t="n">
        <v>9</v>
      </c>
      <c r="B10" s="13" t="inlineStr">
        <is>
          <t>Rice admits ~8%</t>
        </is>
      </c>
      <c r="C10" s="41" t="inlineStr">
        <is>
          <t>WRONG</t>
        </is>
      </c>
      <c r="D10" s="13" t="inlineStr">
        <is>
          <t>~7%</t>
        </is>
      </c>
      <c r="E10" s="13" t="inlineStr">
        <is>
          <t>Class of 2030 admission results</t>
        </is>
      </c>
    </row>
    <row r="11" ht="58" customHeight="1">
      <c r="A11" s="8" t="n">
        <v>10</v>
      </c>
      <c r="B11" s="13" t="inlineStr">
        <is>
          <t>Notre Dame admits ~11%</t>
        </is>
      </c>
      <c r="C11" s="42" t="inlineStr">
        <is>
          <t>IMPRECISE</t>
        </is>
      </c>
      <c r="D11" s="13" t="inlineStr">
        <is>
          <t>9.38% for the Class of 2029; ~12% for 2030. Shown as ~9-12%.</t>
        </is>
      </c>
      <c r="E11" s="13" t="inlineStr">
        <is>
          <t>AdmissionSight; College Kickstart</t>
        </is>
      </c>
    </row>
    <row r="12" ht="58" customHeight="1">
      <c r="A12" s="8" t="n">
        <v>11</v>
      </c>
      <c r="B12" s="13" t="inlineStr">
        <is>
          <t>Lafayette has a Dyer Center / IDEAL Center makerspace plus Acopian engineering labs</t>
        </is>
      </c>
      <c r="C12" s="41" t="inlineStr">
        <is>
          <t>PARTLY WRONG</t>
        </is>
      </c>
      <c r="D12" s="13" t="inlineStr">
        <is>
          <t>The Dyer Center Makerspace is real (Rockwell Integrated Science Center, 3rd floor) but is craft/light-fab: 3D printers, laser engraver, vinyl cutter, sewing machine, hand tools. No CNC or industrial machining listed. 'IDEAL Center' was not verifiable and has been removed.</t>
        </is>
      </c>
      <c r="E12" s="13" t="inlineStr">
        <is>
          <t>Dyer Center, Lafayette College</t>
        </is>
      </c>
    </row>
    <row r="13" ht="58" customHeight="1">
      <c r="A13" s="8" t="n">
        <v>12</v>
      </c>
      <c r="B13" s="13" t="inlineStr">
        <is>
          <t>Union College has 'a makerspace and Templeton Institute design labs'</t>
        </is>
      </c>
      <c r="C13" s="42" t="inlineStr">
        <is>
          <t>UNDERSTATED</t>
        </is>
      </c>
      <c r="D13" s="13" t="inlineStr">
        <is>
          <t>MakerWeb is FIVE makerspaces across campus with CNC router, laser cutter, 3D printers and scanners, industrial machining, soldering stations and Arduino kits. Better than I said, and directly relevant to neuro-hardware projects.</t>
        </is>
      </c>
      <c r="E13" s="13" t="inlineStr">
        <is>
          <t>Union College MakerWeb</t>
        </is>
      </c>
    </row>
    <row r="14" ht="58" customHeight="1">
      <c r="A14" s="8" t="n">
        <v>13</v>
      </c>
      <c r="B14" s="13" t="inlineStr">
        <is>
          <t>Vanderbilt has EE plus a Neural Engineering track</t>
        </is>
      </c>
      <c r="C14" s="42" t="inlineStr">
        <is>
          <t>IMPRECISE</t>
        </is>
      </c>
      <c r="D14" s="13" t="inlineStr">
        <is>
          <t>Neural Engineering sits within Biomedical Engineering at Vanderbilt, not EE. The adjacency to the Brain Institute is real; the departmental home was wrong.</t>
        </is>
      </c>
      <c r="E14" s="13" t="inlineStr">
        <is>
          <t>Vanderbilt School of Engineering</t>
        </is>
      </c>
    </row>
    <row r="15" ht="58" customHeight="1">
      <c r="A15" s="8" t="n">
        <v>14</v>
      </c>
      <c r="B15" s="13" t="inlineStr">
        <is>
          <t>Tufts meets 100% of need regardless of citizenship</t>
        </is>
      </c>
      <c r="C15" s="42" t="inlineStr">
        <is>
          <t>TRUE, but incomplete</t>
        </is>
      </c>
      <c r="D15" s="13" t="inlineStr">
        <is>
          <t>Still true. But the new Tufts Tuition Pact - free tuition under $150k income, from fall 2026 - is US-only and does NOT extend to internationals. Your no-loan threshold at Tufts remains ~$60k.</t>
        </is>
      </c>
      <c r="E15" s="13" t="inlineStr">
        <is>
          <t>Tufts Tuition Pact; Tufts admissions</t>
        </is>
      </c>
    </row>
    <row r="16" ht="58" customHeight="1">
      <c r="A16" s="8" t="n">
        <v>15</v>
      </c>
      <c r="B16" s="13" t="inlineStr">
        <is>
          <t>Case Western think[box] is a seven-storey, 50,000 sq ft makerspace</t>
        </is>
      </c>
      <c r="C16" s="43" t="inlineStr">
        <is>
          <t>CONFIRMED</t>
        </is>
      </c>
      <c r="D16" s="13" t="inlineStr">
        <is>
          <t>Correct, and it is described as the largest open-access makerspace in the US.</t>
        </is>
      </c>
      <c r="E16" s="13" t="inlineStr">
        <is>
          <t>Case Western Sears think[box]</t>
        </is>
      </c>
    </row>
    <row r="17" ht="58" customHeight="1">
      <c r="A17" s="8" t="n">
        <v>16</v>
      </c>
      <c r="B17" s="13" t="inlineStr">
        <is>
          <t>Princeton gives $0 parent contribution at $150k income, need-blind, no loans, same policy for internationals</t>
        </is>
      </c>
      <c r="C17" s="43" t="inlineStr">
        <is>
          <t>CONFIRMED</t>
        </is>
      </c>
      <c r="D17" s="13" t="inlineStr">
        <is>
          <t>Correct. Additional detail worth knowing: Princeton adjusts the expected family contribution for cost of living in your home country.</t>
        </is>
      </c>
      <c r="E17" s="13" t="inlineStr">
        <is>
          <t>Princeton Financial Aid</t>
        </is>
      </c>
    </row>
    <row r="18" ht="58" customHeight="1">
      <c r="A18" s="8" t="n">
        <v>17</v>
      </c>
      <c r="B18" s="13" t="inlineStr">
        <is>
          <t>Vanderbilt offers ED II with a January 1 deadline</t>
        </is>
      </c>
      <c r="C18" s="43" t="inlineStr">
        <is>
          <t>CONFIRMED</t>
        </is>
      </c>
      <c r="D18" s="13" t="inlineStr">
        <is>
          <t>Correct. ED I Nov 1, ED II Jan 1, ED II decisions mid-February.</t>
        </is>
      </c>
      <c r="E18" s="13" t="inlineStr">
        <is>
          <t>Vanderbilt Undergraduate Admissions</t>
        </is>
      </c>
    </row>
    <row r="19" ht="58" customHeight="1">
      <c r="A19" s="8" t="n">
        <v>18</v>
      </c>
      <c r="B19" s="13" t="inlineStr">
        <is>
          <t>Dartmouth admits ~5%</t>
        </is>
      </c>
      <c r="C19" s="43" t="inlineStr">
        <is>
          <t>CONFIRMED</t>
        </is>
      </c>
      <c r="D19" s="13" t="inlineStr">
        <is>
          <t>5.84% for the Class of 2030.</t>
        </is>
      </c>
      <c r="E19" s="13" t="inlineStr">
        <is>
          <t>Class of 2030 admission results</t>
        </is>
      </c>
    </row>
    <row r="20" ht="58" customHeight="1">
      <c r="A20" s="8" t="n">
        <v>19</v>
      </c>
      <c r="B20" s="13" t="inlineStr">
        <is>
          <t>Washington &amp; Lee admits ~17%</t>
        </is>
      </c>
      <c r="C20" s="43" t="inlineStr">
        <is>
          <t>CONFIRMED</t>
        </is>
      </c>
      <c r="D20" s="13" t="inlineStr">
        <is>
          <t>~17% overall; ED admit rate roughly 34%.</t>
        </is>
      </c>
      <c r="E20" s="13" t="inlineStr">
        <is>
          <t>W&amp;L admissions data</t>
        </is>
      </c>
    </row>
    <row r="21" ht="58" customHeight="1">
      <c r="A21" s="8" t="n">
        <v>20</v>
      </c>
      <c r="B21" s="13" t="inlineStr">
        <is>
          <t>WashU admits ~12%</t>
        </is>
      </c>
      <c r="C21" s="43" t="inlineStr">
        <is>
          <t>CONFIRMED</t>
        </is>
      </c>
      <c r="D21" s="13" t="inlineStr">
        <is>
          <t>11.92% for the Class of 2029. Class of 2030 not fully released.</t>
        </is>
      </c>
      <c r="E21" s="13" t="inlineStr">
        <is>
          <t>AdmissionSight</t>
        </is>
      </c>
    </row>
    <row r="22" ht="58" customHeight="1">
      <c r="A22" s="8" t="n">
        <v>21</v>
      </c>
      <c r="B22" s="13" t="inlineStr">
        <is>
          <t>Swarthmore admits ~7%, Amherst ~7%, Duke ~5%, Tufts ~10%</t>
        </is>
      </c>
      <c r="C22" s="43" t="inlineStr">
        <is>
          <t>CONFIRMED</t>
        </is>
      </c>
      <c r="D22" s="13" t="inlineStr">
        <is>
          <t>Swarthmore 7%; Amherst 6.78% (Class of 2030); Duke ~5%; Tufts 10%.</t>
        </is>
      </c>
      <c r="E22" s="13" t="inlineStr">
        <is>
          <t>College Transitions; Oriel; Class of 2030 results</t>
        </is>
      </c>
    </row>
    <row r="23" ht="58" customHeight="1">
      <c r="A23" s="8" t="n">
        <v>22</v>
      </c>
      <c r="B23" s="13" t="inlineStr">
        <is>
          <t>Cornell meets int'l need using grants, work-study and 'reasonable student loans'</t>
        </is>
      </c>
      <c r="C23" s="43" t="inlineStr">
        <is>
          <t>CONFIRMED</t>
        </is>
      </c>
      <c r="D23" s="13" t="inlineStr">
        <is>
          <t>Correct - this is Cornell's own wording, and it is why Cornell fails your no-loan rule.</t>
        </is>
      </c>
      <c r="E23" s="13" t="inlineStr">
        <is>
          <t>Cornell Office of Financial Aid</t>
        </is>
      </c>
    </row>
    <row r="24" ht="58" customHeight="1">
      <c r="A24" s="8" t="n">
        <v>23</v>
      </c>
      <c r="B24" s="13" t="inlineStr">
        <is>
          <t>US News figures (average award, number of internationals funded)</t>
        </is>
      </c>
      <c r="C24" s="43" t="inlineStr">
        <is>
          <t>CONFIRMED</t>
        </is>
      </c>
      <c r="D24" s="13" t="inlineStr">
        <is>
          <t>All 20 rows match the published table: survey of 823 universities, 2024-25, average across all schools $25,100.</t>
        </is>
      </c>
      <c r="E24" s="13" t="inlineStr">
        <is>
          <t>U.S. News survey, reproduced in full by VnExpress International</t>
        </is>
      </c>
    </row>
    <row r="25" ht="58" customHeight="1">
      <c r="A25" s="8" t="n">
        <v>24</v>
      </c>
      <c r="B25" s="13" t="inlineStr">
        <is>
          <t>RD deadlines (Jan 1-5) and ED II dates</t>
        </is>
      </c>
      <c r="C25" s="42" t="inlineStr">
        <is>
          <t>MEDIUM CONFIDENCE</t>
        </is>
      </c>
      <c r="D25" s="13" t="inlineStr">
        <is>
          <t>These are the typical published dates and Vanderbilt, Johns Hopkins, Lafayette, Union and W&amp;L were checked. Confirm every one on the school's own site before relying on it - they shift by a day or two between cycles.</t>
        </is>
      </c>
      <c r="E25" s="13" t="inlineStr">
        <is>
          <t>Various admissions pages</t>
        </is>
      </c>
    </row>
    <row r="26" ht="58" customHeight="1">
      <c r="A26" s="8" t="n">
        <v>25</v>
      </c>
      <c r="B26" s="13" t="inlineStr">
        <is>
          <t>Facility descriptions for Notre Dame (IDEA Center), Princeton (Keller StudioLab), WashU (McKelvey/Sam Fox) and Johns Hopkins (WSE shops)</t>
        </is>
      </c>
      <c r="C26" s="44" t="inlineStr">
        <is>
          <t>NOT INDEPENDENTLY VERIFIED</t>
        </is>
      </c>
      <c r="D26" s="13" t="inlineStr">
        <is>
          <t>These four are stated from general knowledge and were not confirmed against the schools' own pages in this pass. Treat as indicative, not established. Everything else in the facilities column was checked.</t>
        </is>
      </c>
      <c r="E26" s="13" t="inlineStr">
        <is>
          <t>-</t>
        </is>
      </c>
    </row>
    <row r="27" ht="58" customHeight="1">
      <c r="A27" s="8" t="n">
        <v>40</v>
      </c>
      <c r="B27" s="13" t="inlineStr">
        <is>
          <t>Entries 27 and 28 verified Penn aid and its neuroengineering centre</t>
        </is>
      </c>
      <c r="C27" s="44" t="inlineStr">
        <is>
          <t>STILL TRUE - school now cut</t>
        </is>
      </c>
      <c r="D27" s="13" t="inlineStr">
        <is>
          <t>Both checks stand. Penn was removed at your request, not because anything failed verification.</t>
        </is>
      </c>
      <c r="E27" s="13" t="inlineStr">
        <is>
          <t>Penn SRFS; cnt.upenn.edu</t>
        </is>
      </c>
    </row>
    <row r="28">
      <c r="B28" s="21" t="inlineStr">
        <is>
          <t>TALLY</t>
        </is>
      </c>
    </row>
    <row r="29">
      <c r="B29" s="25" t="inlineStr">
        <is>
          <t>Claims checked</t>
        </is>
      </c>
      <c r="C29" s="23" t="n">
        <v>25</v>
      </c>
    </row>
    <row r="30">
      <c r="B30" s="25" t="inlineStr">
        <is>
          <t>Outright wrong</t>
        </is>
      </c>
      <c r="C30" s="23" t="n">
        <v>8</v>
      </c>
    </row>
    <row r="31">
      <c r="B31" s="25" t="inlineStr">
        <is>
          <t>Imprecise or unverified</t>
        </is>
      </c>
      <c r="C31" s="23" t="n">
        <v>7</v>
      </c>
    </row>
    <row r="32">
      <c r="B32" s="25" t="inlineStr">
        <is>
          <t>Confirmed correct</t>
        </is>
      </c>
      <c r="C32" s="23" t="n">
        <v>9</v>
      </c>
    </row>
    <row r="33">
      <c r="B33" s="25" t="inlineStr">
        <is>
          <t>Left unverified, flagged</t>
        </is>
      </c>
      <c r="C33" s="23" t="n">
        <v>1</v>
      </c>
    </row>
    <row r="35">
      <c r="B35" s="26" t="inlineStr">
        <is>
          <t>The one that would have cost you something: I had Vanderbilt as a ~7% hard target and recommended it as an ED II option. At ~6% and need-aware with a small international aid pool, it is a poor use of a binding round. WashU (11.92%) or Washington &amp; Lee (17%) are the sounder ED II choices.</t>
        </is>
      </c>
    </row>
    <row r="37">
      <c r="B37" s="27" t="inlineStr">
        <is>
          <t>Admit rates are overall rates. International admit rates run materially lower at every school here, and lower again for applicants requesting full aid at need-aware schools.</t>
        </is>
      </c>
    </row>
  </sheetData>
  <autoFilter ref="A1:E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2026-08-07T18:02:31Z</dcterms:created>
  <dcterms:modified xmlns:dcterms="http://purl.org/dc/terms/" xmlns:xsi="http://www.w3.org/2001/XMLSchema-instance" xsi:type="dcterms:W3CDTF">2026-08-07T18:02:34Z</dcterms:modified>
</cp:coreProperties>
</file>